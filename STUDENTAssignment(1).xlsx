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y.nmdrevsup\Desktop\Piety coder\"/>
    </mc:Choice>
  </mc:AlternateContent>
  <xr:revisionPtr revIDLastSave="0" documentId="13_ncr:1_{EB668A86-1DDE-4470-A02E-B5677E8290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lt DB" sheetId="1" r:id="rId1"/>
    <sheet name="Sheet2" sheetId="2" r:id="rId2"/>
  </sheets>
  <definedNames>
    <definedName name="maths">Result[MATHS]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2" l="1"/>
  <c r="K2" i="1" a="1"/>
  <c r="K2" i="1" s="1"/>
  <c r="L2" i="1" s="1"/>
  <c r="K3" i="1" a="1"/>
  <c r="K3" i="1" s="1"/>
  <c r="L3" i="1" s="1"/>
  <c r="K4" i="1" a="1"/>
  <c r="K4" i="1" s="1"/>
  <c r="L4" i="1" s="1"/>
  <c r="K5" i="1" a="1"/>
  <c r="K5" i="1" s="1"/>
  <c r="L5" i="1" s="1"/>
  <c r="K6" i="1" a="1"/>
  <c r="K6" i="1" s="1"/>
  <c r="L6" i="1" s="1"/>
  <c r="K7" i="1" a="1"/>
  <c r="K7" i="1" s="1"/>
  <c r="L7" i="1" s="1"/>
  <c r="K8" i="1" a="1"/>
  <c r="K8" i="1" s="1"/>
  <c r="L8" i="1" s="1"/>
  <c r="K9" i="1" a="1"/>
  <c r="K9" i="1" s="1"/>
  <c r="L9" i="1" s="1"/>
  <c r="K10" i="1" a="1"/>
  <c r="K10" i="1" s="1"/>
  <c r="L10" i="1" s="1"/>
  <c r="K11" i="1" a="1"/>
  <c r="K11" i="1" s="1"/>
  <c r="L11" i="1" s="1"/>
  <c r="K12" i="1" a="1"/>
  <c r="K12" i="1" s="1"/>
  <c r="L12" i="1" s="1"/>
  <c r="K13" i="1" a="1"/>
  <c r="K13" i="1" s="1"/>
  <c r="L13" i="1" s="1"/>
  <c r="K14" i="1" a="1"/>
  <c r="K14" i="1" s="1"/>
  <c r="L14" i="1" s="1"/>
  <c r="K15" i="1" a="1"/>
  <c r="K15" i="1" s="1"/>
  <c r="L15" i="1" s="1"/>
  <c r="K16" i="1" a="1"/>
  <c r="K16" i="1" s="1"/>
  <c r="L16" i="1" s="1"/>
  <c r="K17" i="1" a="1"/>
  <c r="K17" i="1" s="1"/>
  <c r="L17" i="1" s="1"/>
  <c r="K18" i="1" a="1"/>
  <c r="K18" i="1" s="1"/>
  <c r="L18" i="1" s="1"/>
  <c r="K19" i="1" a="1"/>
  <c r="K19" i="1" s="1"/>
  <c r="L19" i="1" s="1"/>
  <c r="K20" i="1" a="1"/>
  <c r="K20" i="1" s="1"/>
  <c r="L20" i="1" s="1"/>
  <c r="K21" i="1" a="1"/>
  <c r="K21" i="1" s="1"/>
  <c r="L21" i="1" s="1"/>
  <c r="K22" i="1" a="1"/>
  <c r="K22" i="1" s="1"/>
  <c r="L22" i="1" s="1"/>
  <c r="K23" i="1" a="1"/>
  <c r="K23" i="1" s="1"/>
  <c r="L23" i="1" s="1"/>
  <c r="K24" i="1" a="1"/>
  <c r="K24" i="1" s="1"/>
  <c r="L24" i="1" s="1"/>
  <c r="K25" i="1" a="1"/>
  <c r="K25" i="1" s="1"/>
  <c r="L25" i="1" s="1"/>
  <c r="K26" i="1" a="1"/>
  <c r="K26" i="1" s="1"/>
  <c r="L26" i="1" s="1"/>
  <c r="K27" i="1" a="1"/>
  <c r="K27" i="1" s="1"/>
  <c r="L27" i="1" s="1"/>
  <c r="K28" i="1" a="1"/>
  <c r="K28" i="1" s="1"/>
  <c r="L28" i="1" s="1"/>
  <c r="K29" i="1" a="1"/>
  <c r="K29" i="1" s="1"/>
  <c r="L29" i="1" s="1"/>
  <c r="K30" i="1" a="1"/>
  <c r="K30" i="1" s="1"/>
  <c r="L30" i="1" s="1"/>
  <c r="K31" i="1" a="1"/>
  <c r="K31" i="1" s="1"/>
  <c r="L31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N27" i="1" s="1"/>
  <c r="M28" i="1"/>
  <c r="M29" i="1"/>
  <c r="M30" i="1"/>
  <c r="M31" i="1"/>
  <c r="D29" i="2"/>
  <c r="D30" i="2"/>
  <c r="D16" i="2"/>
  <c r="E16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C12" i="2"/>
  <c r="C11" i="2"/>
  <c r="N19" i="1" l="1"/>
  <c r="N26" i="1"/>
  <c r="N10" i="1"/>
  <c r="N2" i="1"/>
  <c r="N24" i="1"/>
  <c r="N23" i="1"/>
  <c r="N7" i="1"/>
  <c r="N30" i="1"/>
  <c r="N22" i="1"/>
  <c r="N14" i="1"/>
  <c r="N6" i="1"/>
  <c r="N11" i="1"/>
  <c r="N3" i="1"/>
  <c r="N18" i="1"/>
  <c r="N16" i="1"/>
  <c r="N8" i="1"/>
  <c r="N31" i="1"/>
  <c r="N15" i="1"/>
  <c r="N29" i="1"/>
  <c r="N21" i="1"/>
  <c r="N13" i="1"/>
  <c r="N9" i="1"/>
  <c r="N28" i="1"/>
  <c r="N20" i="1"/>
  <c r="N12" i="1"/>
  <c r="N4" i="1"/>
  <c r="N25" i="1"/>
  <c r="N5" i="1"/>
  <c r="N17" i="1"/>
  <c r="H27" i="2"/>
  <c r="H2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<sst xmlns="http://schemas.openxmlformats.org/spreadsheetml/2006/main" count="136" uniqueCount="109">
  <si>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</si>
  <si>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</si>
  <si>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</si>
  <si>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</si>
  <si>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</si>
  <si>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</si>
  <si>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</si>
  <si>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</si>
  <si>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</si>
  <si>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</si>
  <si>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</si>
  <si>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</si>
  <si>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</si>
  <si>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</si>
  <si>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</si>
  <si>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</si>
  <si>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</si>
  <si>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</si>
  <si>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</si>
  <si>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</si>
  <si>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</si>
  <si>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</si>
  <si>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</si>
  <si>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</si>
  <si>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</si>
  <si>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</si>
  <si>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</si>
  <si>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</si>
  <si>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</si>
  <si>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</si>
  <si>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</si>
  <si>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</si>
  <si>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</si>
  <si>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</si>
  <si>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</si>
  <si>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</si>
  <si>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</si>
  <si>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</si>
  <si>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</si>
  <si>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</si>
  <si>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</si>
  <si>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</si>
  <si>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</si>
  <si>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</si>
  <si>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</si>
  <si>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</si>
  <si>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</si>
  <si>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</si>
  <si>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</si>
  <si>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</si>
  <si>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</si>
  <si>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</si>
  <si>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</si>
  <si>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</si>
  <si>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</si>
  <si>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</si>
  <si>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</si>
  <si>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</si>
  <si>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</si>
  <si>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</si>
  <si>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</si>
  <si>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</si>
  <si>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</si>
  <si>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</si>
  <si>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</si>
  <si>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</si>
  <si>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</si>
  <si>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</si>
  <si>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</si>
  <si>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</si>
  <si>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</si>
  <si>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</si>
  <si>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</si>
  <si>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</si>
  <si>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</si>
  <si>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</si>
  <si>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</si>
  <si>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</si>
  <si>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</si>
  <si>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</si>
  <si>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</si>
  <si>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>Department</t>
  </si>
  <si>
    <t>S/N</t>
  </si>
  <si>
    <t>SUBJECTS</t>
  </si>
  <si>
    <t>GRADE</t>
  </si>
  <si>
    <t>FAIL</t>
  </si>
  <si>
    <t>PASS</t>
  </si>
  <si>
    <t>GOOD</t>
  </si>
  <si>
    <t>EXCELLENT</t>
  </si>
  <si>
    <t>80-100</t>
  </si>
  <si>
    <t>65-79</t>
  </si>
  <si>
    <t>V. GOOD</t>
  </si>
  <si>
    <t>55-64</t>
  </si>
  <si>
    <t>45-54</t>
  </si>
  <si>
    <t>39-44</t>
  </si>
  <si>
    <t>TOTAL</t>
  </si>
  <si>
    <t>AVERAGE</t>
  </si>
  <si>
    <t>TEACHER'S COMMENT</t>
  </si>
  <si>
    <t>NUMBER OF STUDENT</t>
  </si>
  <si>
    <t>NUMBER OF SUBJECT</t>
  </si>
  <si>
    <t>Column1</t>
  </si>
  <si>
    <t>total Average</t>
  </si>
  <si>
    <t>Student ID</t>
  </si>
  <si>
    <t xml:space="preserve">GRADE </t>
  </si>
  <si>
    <t>Position</t>
  </si>
  <si>
    <t>Average</t>
  </si>
  <si>
    <t>POSITION</t>
  </si>
  <si>
    <t>Name</t>
  </si>
  <si>
    <t>SCORE/100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</si>
</sst>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  <family val="2"/>
    </font>
    <font>
      <sz val="10"/>
      <color rgb="FF000000"/>
      <name val="Segoe Fluent Icons"/>
      <family val="1"/>
    </font>
    <font>
      <b/>
      <sz val="18"/>
      <color rgb="FF000000"/>
      <name val="Segoe Fluent Icons"/>
      <family val="1"/>
    </font>
    <font>
      <sz val="11"/>
      <color rgb="FF000000"/>
      <name val="Segoe Fluent Icons"/>
      <family val="1"/>
    </font>
    <font>
      <b/>
      <sz val="11"/>
      <color rgb="FF000000"/>
      <name val="Segoe Fluent Icons"/>
      <family val="1"/>
    </font>
    <font>
      <sz val="11"/>
      <color theme="1"/>
      <name val="Segoe Fluent Icons"/>
      <family val="1"/>
    </font>
    <font>
      <b/>
      <sz val="11"/>
      <color theme="1"/>
      <name val="Segoe Fluent Icons"/>
      <family val="1"/>
    </font>
    <font>
      <sz val="12"/>
      <color rgb="FF000000"/>
      <name val="Segoe Fluent Icons"/>
      <family val="1"/>
    </font>
    <font>
      <b/>
      <sz val="14"/>
      <color rgb="FF000000"/>
      <name val="Segoe Fluent Icons"/>
      <family val="1"/>
    </font>
    <font>
      <b/>
      <sz val="12"/>
      <color rgb="FF000000"/>
      <name val="Segoe Fluent Icons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9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/>
    <xf numFmtId="1" fontId="0" fillId="0" borderId="0" xfId="0" applyNumberFormat="1" applyFont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 applyAlignment="1"/>
    <xf numFmtId="0" fontId="6" fillId="2" borderId="0" xfId="0" applyFont="1" applyFill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2" borderId="1" xfId="0" applyFont="1" applyFill="1" applyBorder="1" applyAlignment="1"/>
    <xf numFmtId="0" fontId="4" fillId="2" borderId="0" xfId="0" applyFont="1" applyFill="1" applyBorder="1" applyAlignment="1"/>
    <xf numFmtId="0" fontId="10" fillId="2" borderId="0" xfId="0" applyFont="1" applyFill="1" applyBorder="1" applyAlignment="1">
      <alignment horizontal="left"/>
    </xf>
    <xf numFmtId="0" fontId="4" fillId="2" borderId="1" xfId="0" applyFont="1" applyFill="1" applyBorder="1" applyAlignment="1"/>
    <xf numFmtId="0" fontId="7" fillId="2" borderId="0" xfId="0" applyFont="1" applyFill="1" applyBorder="1" applyAlignment="1"/>
    <xf numFmtId="0" fontId="11" fillId="2" borderId="0" xfId="0" applyFont="1" applyFill="1" applyBorder="1" applyAlignment="1"/>
    <xf numFmtId="0" fontId="11" fillId="2" borderId="0" xfId="0" applyFont="1" applyFill="1" applyAlignment="1"/>
    <xf numFmtId="0" fontId="6" fillId="2" borderId="1" xfId="0" applyFont="1" applyFill="1" applyBorder="1" applyAlignment="1">
      <alignment horizontal="center"/>
    </xf>
    <xf numFmtId="0" fontId="4" fillId="0" borderId="0" xfId="0" applyFont="1" applyBorder="1" applyAlignment="1"/>
    <xf numFmtId="1" fontId="6" fillId="2" borderId="1" xfId="0" applyNumberFormat="1" applyFont="1" applyFill="1" applyBorder="1" applyAlignment="1">
      <alignment horizontal="center"/>
    </xf>
    <xf numFmtId="1" fontId="6" fillId="2" borderId="0" xfId="0" applyNumberFormat="1" applyFont="1" applyFill="1" applyBorder="1" applyAlignment="1">
      <alignment horizontal="center"/>
    </xf>
    <xf numFmtId="0" fontId="7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Fluent Icons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Fluent Icons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Fluent Icons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Fluent Icons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Fluent Icons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Fluent Icons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1710D4EA-3483-4A94-A9E4-EEB9184209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5445</xdr:colOff>
      <xdr:row>2</xdr:row>
      <xdr:rowOff>63501</xdr:rowOff>
    </xdr:from>
    <xdr:to>
      <xdr:col>8</xdr:col>
      <xdr:colOff>317503</xdr:colOff>
      <xdr:row>8</xdr:row>
      <xdr:rowOff>-1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D02BFB73-D5C5-4598-9B64-BC68BF3C633A}"/>
            </a:ext>
          </a:extLst>
        </xdr:cNvPr>
        <xdr:cNvGrpSpPr/>
      </xdr:nvGrpSpPr>
      <xdr:grpSpPr>
        <a:xfrm>
          <a:off x="619278" y="381001"/>
          <a:ext cx="5349725" cy="1100665"/>
          <a:chOff x="830944" y="517072"/>
          <a:chExt cx="5168189" cy="1124856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1E4FB68-AC47-49C4-B68B-42114E997F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0944" y="521608"/>
            <a:ext cx="1291771" cy="757463"/>
          </a:xfrm>
          <a:prstGeom prst="rect">
            <a:avLst/>
          </a:prstGeom>
        </xdr:spPr>
      </xdr:pic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2634264D-869E-457B-92A4-4D5BD80DEF32}"/>
              </a:ext>
            </a:extLst>
          </xdr:cNvPr>
          <xdr:cNvSpPr/>
        </xdr:nvSpPr>
        <xdr:spPr>
          <a:xfrm>
            <a:off x="2297991" y="517072"/>
            <a:ext cx="3701142" cy="1124856"/>
          </a:xfrm>
          <a:prstGeom prst="roundRect">
            <a:avLst/>
          </a:prstGeom>
          <a:solidFill>
            <a:schemeClr val="accent6">
              <a:lumMod val="50000"/>
            </a:schemeClr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800">
                <a:solidFill>
                  <a:schemeClr val="bg1"/>
                </a:solidFill>
                <a:latin typeface="Algerian" panose="04020705040A02060702" pitchFamily="82" charset="0"/>
              </a:rPr>
              <a:t>IOTBTECH</a:t>
            </a:r>
          </a:p>
          <a:p>
            <a:pPr algn="ctr"/>
            <a:r>
              <a:rPr lang="en-US" sz="1000">
                <a:solidFill>
                  <a:schemeClr val="bg1"/>
                </a:solidFill>
                <a:latin typeface="Algerian" panose="04020705040A02060702" pitchFamily="82" charset="0"/>
              </a:rPr>
              <a:t>international</a:t>
            </a:r>
            <a:r>
              <a:rPr lang="en-US" sz="1000" baseline="0">
                <a:solidFill>
                  <a:schemeClr val="bg1"/>
                </a:solidFill>
                <a:latin typeface="Algerian" panose="04020705040A02060702" pitchFamily="82" charset="0"/>
              </a:rPr>
              <a:t> school</a:t>
            </a:r>
          </a:p>
          <a:p>
            <a:pPr algn="ctr"/>
            <a:endParaRPr lang="en-US" sz="900">
              <a:solidFill>
                <a:schemeClr val="bg1"/>
              </a:solidFill>
              <a:latin typeface="Algerian" panose="04020705040A02060702" pitchFamily="82" charset="0"/>
            </a:endParaRPr>
          </a:p>
        </xdr:txBody>
      </xdr:sp>
    </xdr:grpSp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3A45DC-3D95-4A1B-B81D-B19A07B2F051}" name="Result" displayName="Result" ref="A1:N31" totalsRowShown="0" headerRowDxfId="21" dataDxfId="20">
  <autoFilter ref="A1:N31" xr:uid="{BC3A45DC-3D95-4A1B-B81D-B19A07B2F051}"/>
  <tableColumns count="14">
    <tableColumn id="1" xr3:uid="{3F81594C-D38A-45A3-A439-D13BBC5368B9}" name="STUDENT ID" dataDxfId="19"/>
    <tableColumn id="2" xr3:uid="{76980332-C9F6-408D-8972-E7E8448C59C5}" name="NAME" dataDxfId="18"/>
    <tableColumn id="3" xr3:uid="{68508035-1E6F-4431-8AEF-8C46EC38B1CF}" name="DEPT" dataDxfId="17"/>
    <tableColumn id="4" xr3:uid="{150F171E-6F68-4740-AF07-D2B928E32D22}" name="MATHS" dataDxfId="16"/>
    <tableColumn id="5" xr3:uid="{ACC65F77-96C0-4AEC-AB7D-3E2739D057DC}" name="ENGLISH" dataDxfId="15"/>
    <tableColumn id="6" xr3:uid="{E16C25E0-D000-4C69-B095-CEA645B02652}" name="PHY" dataDxfId="14"/>
    <tableColumn id="7" xr3:uid="{67DBF80B-A600-4AFA-853D-06E90705E13D}" name="BIO" dataDxfId="13"/>
    <tableColumn id="8" xr3:uid="{0270152C-B573-450B-8E2E-D6B44AB6120E}" name="CHE" dataDxfId="12"/>
    <tableColumn id="9" xr3:uid="{EC2CD4A8-EA99-4969-AD0E-5CC4463043C8}" name="AGRIC" dataDxfId="11"/>
    <tableColumn id="10" xr3:uid="{628E6B5C-6D2D-4159-98E9-107BFBA5BE14}" name="GEO" dataDxfId="10"/>
    <tableColumn id="11" xr3:uid="{8025C2C3-5C6A-42C4-9B29-F09CB8D1CBA9}" name="total Average" dataDxfId="9">
      <calculatedColumnFormula array="1">SUM(Result[[#This Row],[MATHS]:[GEO]]/7)</calculatedColumnFormula>
    </tableColumn>
    <tableColumn id="12" xr3:uid="{8B075BB5-E23C-4C80-8073-D45FB5764858}" name="Column1" dataDxfId="8">
      <calculatedColumnFormula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calculatedColumnFormula>
    </tableColumn>
    <tableColumn id="13" xr3:uid="{DFDFF353-9C1F-47F1-A3E6-C11CCAA721D8}" name="Average" dataDxfId="7">
      <calculatedColumnFormula>AVERAGE(Result[[#This Row],[MATHS]:[GEO]])</calculatedColumnFormula>
    </tableColumn>
    <tableColumn id="14" xr3:uid="{5911515E-C6C5-495D-B5E1-E99FFB346AC8}" name="Position" dataDxfId="6">
      <calculatedColumnFormula>RANK(M2,$M$2:$M$31,0)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7B259-2833-4CB6-B69F-586C1074D248}" name="Table1" displayName="Table1" ref="O5:P10" headerRowCount="0" totalsRowShown="0" headerRowDxfId="2" dataDxfId="3">
  <tableColumns count="2">
    <tableColumn id="1" xr3:uid="{9F3DD44B-919A-417E-A9A9-07D25760F61C}" name="Column1" headerRowDxfId="0" dataDxfId="5"/>
    <tableColumn id="2" xr3:uid="{EBDA60E8-24A7-456A-BB8A-E78DF36DAFCC}" name="Column2" headerRowDxfId="1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"/>
  <sheetViews>
    <sheetView topLeftCell="A4" workbookViewId="0">
      <selection activeCell="G15" sqref="G15"/>
    </sheetView>
  </sheetViews>
  <sheetFormatPr defaultColWidth="12.6328125" defaultRowHeight="15.75" customHeight="1"/>
  <cols>
    <col min="1" max="1" width="15.08984375" customWidth="1"/>
    <col min="2" max="2" width="15.7265625" bestFit="1" customWidth="1"/>
    <col min="3" max="3" width="17.1796875" bestFit="1" customWidth="1"/>
    <col min="11" max="11" width="12.6328125" style="8"/>
    <col min="13" max="14" width="12.6328125" style="8"/>
    <col min="15" max="15" width="12.36328125" customWidth="1"/>
  </cols>
  <sheetData>
    <row r="1" spans="1:17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101</v>
      </c>
      <c r="L1" s="1" t="s">
        <v>100</v>
      </c>
      <c r="M1" s="6" t="s">
        <v>105</v>
      </c>
      <c r="N1" s="6" t="s">
        <v>104</v>
      </c>
      <c r="O1" s="1"/>
      <c r="Q1">
        <v>4</v>
      </c>
    </row>
    <row r="2" spans="1:17" ht="15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  <c r="K2" s="7" cm="1">
        <f t="array" ref="K2">SUM(Result[[#This Row],[MATHS]:[GEO]]/7)</f>
        <v>63.571428571428562</v>
      </c>
      <c r="L2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GOOD</v>
      </c>
      <c r="M2" s="7">
        <f>AVERAGE(Result[[#This Row],[MATHS]:[GEO]])</f>
        <v>63.571428571428569</v>
      </c>
      <c r="N2" s="7">
        <f t="shared" ref="N2:N31" si="0">RANK(M2,$M$2:$M$31,0)</f>
        <v>24</v>
      </c>
      <c r="O2" s="9"/>
      <c r="P2" s="9"/>
      <c r="Q2">
        <v>5</v>
      </c>
    </row>
    <row r="3" spans="1:17" ht="15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  <c r="K3" s="7" cm="1">
        <f t="array" ref="K3">SUM(Result[[#This Row],[MATHS]:[GEO]]/7)</f>
        <v>58.857142857142854</v>
      </c>
      <c r="L3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GOOD</v>
      </c>
      <c r="M3" s="7">
        <f>AVERAGE(Result[[#This Row],[MATHS]:[GEO]])</f>
        <v>58.857142857142854</v>
      </c>
      <c r="N3" s="7">
        <f t="shared" si="0"/>
        <v>30</v>
      </c>
      <c r="O3" s="10"/>
      <c r="P3" s="10"/>
      <c r="Q3">
        <v>6</v>
      </c>
    </row>
    <row r="4" spans="1:17" ht="14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  <c r="K4" s="7" cm="1">
        <f t="array" ref="K4">SUM(Result[[#This Row],[MATHS]:[GEO]]/7)</f>
        <v>78.428571428571431</v>
      </c>
      <c r="L4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4" s="7">
        <f>AVERAGE(Result[[#This Row],[MATHS]:[GEO]])</f>
        <v>78.428571428571431</v>
      </c>
      <c r="N4" s="7">
        <f t="shared" si="0"/>
        <v>1</v>
      </c>
      <c r="Q4">
        <v>7</v>
      </c>
    </row>
    <row r="5" spans="1:17" ht="15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  <c r="K5" s="7" cm="1">
        <f t="array" ref="K5">SUM(Result[[#This Row],[MATHS]:[GEO]]/7)</f>
        <v>77.285714285714278</v>
      </c>
      <c r="L5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5" s="7">
        <f>AVERAGE(Result[[#This Row],[MATHS]:[GEO]])</f>
        <v>77.285714285714292</v>
      </c>
      <c r="N5" s="7">
        <f t="shared" si="0"/>
        <v>3</v>
      </c>
      <c r="O5" s="9"/>
      <c r="P5" s="9"/>
      <c r="Q5">
        <v>8</v>
      </c>
    </row>
    <row r="6" spans="1:17" ht="15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  <c r="K6" s="7" cm="1">
        <f t="array" ref="K6">SUM(Result[[#This Row],[MATHS]:[GEO]]/7)</f>
        <v>62.714285714285722</v>
      </c>
      <c r="L6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GOOD</v>
      </c>
      <c r="M6" s="7">
        <f>AVERAGE(Result[[#This Row],[MATHS]:[GEO]])</f>
        <v>62.714285714285715</v>
      </c>
      <c r="N6" s="7">
        <f t="shared" si="0"/>
        <v>26</v>
      </c>
      <c r="O6" s="9"/>
      <c r="P6" s="9"/>
      <c r="Q6">
        <v>9</v>
      </c>
    </row>
    <row r="7" spans="1:17" ht="15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  <c r="K7" s="7" cm="1">
        <f t="array" ref="K7">SUM(Result[[#This Row],[MATHS]:[GEO]]/7)</f>
        <v>65</v>
      </c>
      <c r="L7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7" s="7">
        <f>AVERAGE(Result[[#This Row],[MATHS]:[GEO]])</f>
        <v>65</v>
      </c>
      <c r="N7" s="7">
        <f t="shared" si="0"/>
        <v>23</v>
      </c>
      <c r="O7" s="9"/>
      <c r="P7" s="9"/>
      <c r="Q7">
        <v>10</v>
      </c>
    </row>
    <row r="8" spans="1:17" ht="15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  <c r="K8" s="7" cm="1">
        <f t="array" ref="K8">SUM(Result[[#This Row],[MATHS]:[GEO]]/7)</f>
        <v>70.571428571428569</v>
      </c>
      <c r="L8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8" s="7">
        <f>AVERAGE(Result[[#This Row],[MATHS]:[GEO]])</f>
        <v>70.571428571428569</v>
      </c>
      <c r="N8" s="7">
        <f t="shared" si="0"/>
        <v>13</v>
      </c>
      <c r="O8" s="9"/>
      <c r="P8" s="9"/>
    </row>
    <row r="9" spans="1:17" ht="15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  <c r="K9" s="7" cm="1">
        <f t="array" ref="K9">SUM(Result[[#This Row],[MATHS]:[GEO]]/7)</f>
        <v>69</v>
      </c>
      <c r="L9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9" s="7">
        <f>AVERAGE(Result[[#This Row],[MATHS]:[GEO]])</f>
        <v>69</v>
      </c>
      <c r="N9" s="7">
        <f t="shared" si="0"/>
        <v>16</v>
      </c>
      <c r="O9" s="9"/>
      <c r="P9" s="9"/>
    </row>
    <row r="10" spans="1:17" ht="15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  <c r="K10" s="7" cm="1">
        <f t="array" ref="K10">SUM(Result[[#This Row],[MATHS]:[GEO]]/7)</f>
        <v>71.428571428571431</v>
      </c>
      <c r="L10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10" s="7">
        <f>AVERAGE(Result[[#This Row],[MATHS]:[GEO]])</f>
        <v>71.428571428571431</v>
      </c>
      <c r="N10" s="7">
        <f t="shared" si="0"/>
        <v>9</v>
      </c>
      <c r="O10" s="9"/>
      <c r="P10" s="9"/>
    </row>
    <row r="11" spans="1:17" ht="14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  <c r="K11" s="7" cm="1">
        <f t="array" ref="K11">SUM(Result[[#This Row],[MATHS]:[GEO]]/7)</f>
        <v>68.857142857142861</v>
      </c>
      <c r="L11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11" s="7">
        <f>AVERAGE(Result[[#This Row],[MATHS]:[GEO]])</f>
        <v>68.857142857142861</v>
      </c>
      <c r="N11" s="7">
        <f t="shared" si="0"/>
        <v>17</v>
      </c>
    </row>
    <row r="12" spans="1:17" ht="14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  <c r="K12" s="7" cm="1">
        <f t="array" ref="K12">SUM(Result[[#This Row],[MATHS]:[GEO]]/7)</f>
        <v>65.857142857142861</v>
      </c>
      <c r="L12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12" s="7">
        <f>AVERAGE(Result[[#This Row],[MATHS]:[GEO]])</f>
        <v>65.857142857142861</v>
      </c>
      <c r="N12" s="7">
        <f t="shared" si="0"/>
        <v>22</v>
      </c>
    </row>
    <row r="13" spans="1:17" ht="14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  <c r="K13" s="7" cm="1">
        <f t="array" ref="K13">SUM(Result[[#This Row],[MATHS]:[GEO]]/7)</f>
        <v>71</v>
      </c>
      <c r="L13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13" s="7">
        <f>AVERAGE(Result[[#This Row],[MATHS]:[GEO]])</f>
        <v>71</v>
      </c>
      <c r="N13" s="7">
        <f t="shared" si="0"/>
        <v>12</v>
      </c>
    </row>
    <row r="14" spans="1:17" ht="14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  <c r="K14" s="7" cm="1">
        <f t="array" ref="K14">SUM(Result[[#This Row],[MATHS]:[GEO]]/7)</f>
        <v>67.857142857142861</v>
      </c>
      <c r="L14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14" s="7">
        <f>AVERAGE(Result[[#This Row],[MATHS]:[GEO]])</f>
        <v>67.857142857142861</v>
      </c>
      <c r="N14" s="7">
        <f t="shared" si="0"/>
        <v>18</v>
      </c>
    </row>
    <row r="15" spans="1:17" ht="14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  <c r="K15" s="7" cm="1">
        <f t="array" ref="K15">SUM(Result[[#This Row],[MATHS]:[GEO]]/7)</f>
        <v>69.714285714285708</v>
      </c>
      <c r="L15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15" s="7">
        <f>AVERAGE(Result[[#This Row],[MATHS]:[GEO]])</f>
        <v>69.714285714285708</v>
      </c>
      <c r="N15" s="7">
        <f t="shared" si="0"/>
        <v>14</v>
      </c>
    </row>
    <row r="16" spans="1:17" ht="14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  <c r="K16" s="7" cm="1">
        <f t="array" ref="K16">SUM(Result[[#This Row],[MATHS]:[GEO]]/7)</f>
        <v>62.571428571428577</v>
      </c>
      <c r="L16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GOOD</v>
      </c>
      <c r="M16" s="7">
        <f>AVERAGE(Result[[#This Row],[MATHS]:[GEO]])</f>
        <v>62.571428571428569</v>
      </c>
      <c r="N16" s="7">
        <f t="shared" si="0"/>
        <v>27</v>
      </c>
    </row>
    <row r="17" spans="1:14" ht="14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  <c r="K17" s="7" cm="1">
        <f t="array" ref="K17">SUM(Result[[#This Row],[MATHS]:[GEO]]/7)</f>
        <v>67.142857142857139</v>
      </c>
      <c r="L17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17" s="7">
        <f>AVERAGE(Result[[#This Row],[MATHS]:[GEO]])</f>
        <v>67.142857142857139</v>
      </c>
      <c r="N17" s="7">
        <f t="shared" si="0"/>
        <v>20</v>
      </c>
    </row>
    <row r="18" spans="1:14" ht="14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  <c r="K18" s="7" cm="1">
        <f t="array" ref="K18">SUM(Result[[#This Row],[MATHS]:[GEO]]/7)</f>
        <v>66</v>
      </c>
      <c r="L18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18" s="7">
        <f>AVERAGE(Result[[#This Row],[MATHS]:[GEO]])</f>
        <v>66</v>
      </c>
      <c r="N18" s="7">
        <f t="shared" si="0"/>
        <v>21</v>
      </c>
    </row>
    <row r="19" spans="1:14" ht="14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  <c r="K19" s="7" cm="1">
        <f t="array" ref="K19">SUM(Result[[#This Row],[MATHS]:[GEO]]/7)</f>
        <v>71.571428571428569</v>
      </c>
      <c r="L19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19" s="7">
        <f>AVERAGE(Result[[#This Row],[MATHS]:[GEO]])</f>
        <v>71.571428571428569</v>
      </c>
      <c r="N19" s="7">
        <f t="shared" si="0"/>
        <v>8</v>
      </c>
    </row>
    <row r="20" spans="1:14" ht="14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  <c r="K20" s="7" cm="1">
        <f t="array" ref="K20">SUM(Result[[#This Row],[MATHS]:[GEO]]/7)</f>
        <v>71.142857142857139</v>
      </c>
      <c r="L20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20" s="7">
        <f>AVERAGE(Result[[#This Row],[MATHS]:[GEO]])</f>
        <v>71.142857142857139</v>
      </c>
      <c r="N20" s="7">
        <f t="shared" si="0"/>
        <v>11</v>
      </c>
    </row>
    <row r="21" spans="1:14" ht="14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  <c r="K21" s="7" cm="1">
        <f t="array" ref="K21">SUM(Result[[#This Row],[MATHS]:[GEO]]/7)</f>
        <v>60.142857142857146</v>
      </c>
      <c r="L21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GOOD</v>
      </c>
      <c r="M21" s="7">
        <f>AVERAGE(Result[[#This Row],[MATHS]:[GEO]])</f>
        <v>60.142857142857146</v>
      </c>
      <c r="N21" s="7">
        <f t="shared" si="0"/>
        <v>29</v>
      </c>
    </row>
    <row r="22" spans="1:14" ht="14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  <c r="K22" s="7" cm="1">
        <f t="array" ref="K22">SUM(Result[[#This Row],[MATHS]:[GEO]]/7)</f>
        <v>73.285714285714292</v>
      </c>
      <c r="L22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22" s="7">
        <f>AVERAGE(Result[[#This Row],[MATHS]:[GEO]])</f>
        <v>73.285714285714292</v>
      </c>
      <c r="N22" s="7">
        <f t="shared" si="0"/>
        <v>6</v>
      </c>
    </row>
    <row r="23" spans="1:14" ht="14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  <c r="K23" s="7" cm="1">
        <f t="array" ref="K23">SUM(Result[[#This Row],[MATHS]:[GEO]]/7)</f>
        <v>71.428571428571431</v>
      </c>
      <c r="L23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23" s="7">
        <f>AVERAGE(Result[[#This Row],[MATHS]:[GEO]])</f>
        <v>71.428571428571431</v>
      </c>
      <c r="N23" s="7">
        <f t="shared" si="0"/>
        <v>9</v>
      </c>
    </row>
    <row r="24" spans="1:14" ht="14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  <c r="K24" s="7" cm="1">
        <f t="array" ref="K24">SUM(Result[[#This Row],[MATHS]:[GEO]]/7)</f>
        <v>78.285714285714292</v>
      </c>
      <c r="L24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24" s="7">
        <f>AVERAGE(Result[[#This Row],[MATHS]:[GEO]])</f>
        <v>78.285714285714292</v>
      </c>
      <c r="N24" s="7">
        <f t="shared" si="0"/>
        <v>2</v>
      </c>
    </row>
    <row r="25" spans="1:14" ht="14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  <c r="K25" s="7" cm="1">
        <f t="array" ref="K25">SUM(Result[[#This Row],[MATHS]:[GEO]]/7)</f>
        <v>69.714285714285708</v>
      </c>
      <c r="L25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25" s="7">
        <f>AVERAGE(Result[[#This Row],[MATHS]:[GEO]])</f>
        <v>69.714285714285708</v>
      </c>
      <c r="N25" s="7">
        <f t="shared" si="0"/>
        <v>14</v>
      </c>
    </row>
    <row r="26" spans="1:14" ht="14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  <c r="K26" s="7" cm="1">
        <f t="array" ref="K26">SUM(Result[[#This Row],[MATHS]:[GEO]]/7)</f>
        <v>76.857142857142847</v>
      </c>
      <c r="L26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26" s="7">
        <f>AVERAGE(Result[[#This Row],[MATHS]:[GEO]])</f>
        <v>76.857142857142861</v>
      </c>
      <c r="N26" s="7">
        <f t="shared" si="0"/>
        <v>5</v>
      </c>
    </row>
    <row r="27" spans="1:14" ht="14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  <c r="K27" s="7" cm="1">
        <f t="array" ref="K27">SUM(Result[[#This Row],[MATHS]:[GEO]]/7)</f>
        <v>63.428571428571416</v>
      </c>
      <c r="L27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GOOD</v>
      </c>
      <c r="M27" s="7">
        <f>AVERAGE(Result[[#This Row],[MATHS]:[GEO]])</f>
        <v>63.428571428571431</v>
      </c>
      <c r="N27" s="7">
        <f t="shared" si="0"/>
        <v>25</v>
      </c>
    </row>
    <row r="28" spans="1:14" ht="14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  <c r="K28" s="7" cm="1">
        <f t="array" ref="K28">SUM(Result[[#This Row],[MATHS]:[GEO]]/7)</f>
        <v>60.714285714285708</v>
      </c>
      <c r="L28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GOOD</v>
      </c>
      <c r="M28" s="7">
        <f>AVERAGE(Result[[#This Row],[MATHS]:[GEO]])</f>
        <v>60.714285714285715</v>
      </c>
      <c r="N28" s="7">
        <f t="shared" si="0"/>
        <v>28</v>
      </c>
    </row>
    <row r="29" spans="1:14" ht="14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  <c r="K29" s="7" cm="1">
        <f t="array" ref="K29">SUM(Result[[#This Row],[MATHS]:[GEO]]/7)</f>
        <v>67.285714285714292</v>
      </c>
      <c r="L29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29" s="7">
        <f>AVERAGE(Result[[#This Row],[MATHS]:[GEO]])</f>
        <v>67.285714285714292</v>
      </c>
      <c r="N29" s="7">
        <f t="shared" si="0"/>
        <v>19</v>
      </c>
    </row>
    <row r="30" spans="1:14" ht="14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  <c r="K30" s="7" cm="1">
        <f t="array" ref="K30">SUM(Result[[#This Row],[MATHS]:[GEO]]/7)</f>
        <v>76.999999999999986</v>
      </c>
      <c r="L30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30" s="7">
        <f>AVERAGE(Result[[#This Row],[MATHS]:[GEO]])</f>
        <v>77</v>
      </c>
      <c r="N30" s="7">
        <f t="shared" si="0"/>
        <v>4</v>
      </c>
    </row>
    <row r="31" spans="1:14" ht="14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  <c r="K31" s="7" cm="1">
        <f t="array" ref="K31">SUM(Result[[#This Row],[MATHS]:[GEO]]/7)</f>
        <v>72</v>
      </c>
      <c r="L31" s="2" t="str">
        <f>IF(Result[[#This Row],[total Average]]&gt;=80,"ËXCELLENT",IF(Result[[#This Row],[total Average]]&gt;=65,"V. GOOD", IF(Result[[#This Row],[total Average]]&gt;=55,"GOOD",IF(Result[[#This Row],[total Average]]&gt;=45,"PASS",IF(Result[[#This Row],[total Average]]&lt;=44,"FAIL")))))</f>
        <v>V. GOOD</v>
      </c>
      <c r="M31" s="7">
        <f>AVERAGE(Result[[#This Row],[MATHS]:[GEO]])</f>
        <v>72</v>
      </c>
      <c r="N31" s="7">
        <f t="shared" si="0"/>
        <v>7</v>
      </c>
    </row>
  </sheetData>
  <mergeCells count="1">
    <mergeCell ref="O3:P3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B48E-8086-4AB7-B328-7F8C928E7D78}">
  <dimension ref="A2:M37"/>
  <sheetViews>
    <sheetView showGridLines="0" tabSelected="1" zoomScale="60" zoomScaleNormal="60" workbookViewId="0">
      <selection activeCell="L23" sqref="L23"/>
    </sheetView>
  </sheetViews>
  <sheetFormatPr defaultRowHeight="12.5"/>
  <cols>
    <col min="1" max="1" width="8.7265625" style="4" customWidth="1"/>
    <col min="2" max="2" width="12.08984375" style="4" customWidth="1"/>
    <col min="3" max="3" width="14.90625" style="4" customWidth="1"/>
    <col min="4" max="4" width="10.26953125" style="4" customWidth="1"/>
    <col min="5" max="5" width="12.81640625" style="4" customWidth="1"/>
    <col min="6" max="6" width="2.6328125" style="4" customWidth="1"/>
    <col min="7" max="7" width="6.453125" style="4" customWidth="1"/>
    <col min="8" max="8" width="12.90625" style="4" customWidth="1"/>
    <col min="9" max="9" width="7.7265625" style="4" customWidth="1"/>
    <col min="10" max="16384" width="8.7265625" style="4"/>
  </cols>
  <sheetData>
    <row r="2" spans="1:12">
      <c r="A2" s="11"/>
      <c r="B2" s="11"/>
      <c r="C2" s="11"/>
      <c r="D2" s="11"/>
      <c r="E2" s="11"/>
      <c r="F2" s="11"/>
      <c r="G2" s="11"/>
      <c r="H2" s="11"/>
      <c r="I2" s="11"/>
    </row>
    <row r="3" spans="1:12" ht="12.5" customHeight="1">
      <c r="A3" s="11"/>
      <c r="B3" s="11"/>
      <c r="C3" s="11"/>
      <c r="D3" s="11"/>
      <c r="E3" s="11"/>
      <c r="F3" s="12"/>
      <c r="G3" s="12"/>
      <c r="H3" s="11"/>
      <c r="I3" s="11"/>
    </row>
    <row r="4" spans="1:12" ht="12.5" customHeight="1">
      <c r="A4" s="11"/>
      <c r="B4" s="11"/>
      <c r="C4" s="11"/>
      <c r="D4" s="11"/>
      <c r="E4" s="12"/>
      <c r="F4" s="12"/>
      <c r="G4" s="12"/>
      <c r="H4" s="11"/>
      <c r="I4" s="11"/>
    </row>
    <row r="5" spans="1:12" ht="12.5" customHeight="1">
      <c r="A5" s="11"/>
      <c r="B5" s="11"/>
      <c r="C5" s="11"/>
      <c r="D5" s="11"/>
      <c r="E5" s="12"/>
      <c r="F5" s="12"/>
      <c r="G5" s="12"/>
      <c r="H5" s="11"/>
      <c r="I5" s="11"/>
    </row>
    <row r="6" spans="1:12" ht="12.5" customHeight="1">
      <c r="A6" s="11"/>
      <c r="B6" s="11"/>
      <c r="C6" s="11"/>
      <c r="D6" s="11"/>
      <c r="E6" s="12"/>
      <c r="F6" s="12"/>
      <c r="G6" s="12"/>
      <c r="H6" s="11"/>
      <c r="I6" s="11"/>
    </row>
    <row r="7" spans="1:12" ht="29.5" customHeight="1">
      <c r="A7" s="11"/>
      <c r="B7" s="11"/>
      <c r="C7" s="11"/>
      <c r="D7" s="11"/>
      <c r="E7" s="12"/>
      <c r="F7" s="12"/>
      <c r="G7" s="12"/>
      <c r="H7" s="11"/>
      <c r="I7" s="11"/>
    </row>
    <row r="8" spans="1:12">
      <c r="A8" s="11"/>
      <c r="B8" s="11"/>
      <c r="C8" s="11"/>
      <c r="D8" s="11"/>
      <c r="E8" s="11"/>
      <c r="F8" s="11"/>
      <c r="G8" s="11"/>
      <c r="H8" s="11"/>
      <c r="I8" s="11"/>
    </row>
    <row r="9" spans="1:12">
      <c r="A9" s="11"/>
      <c r="B9" s="11"/>
      <c r="C9" s="11"/>
      <c r="D9" s="11"/>
      <c r="E9" s="11"/>
      <c r="F9" s="11"/>
      <c r="G9" s="13"/>
      <c r="H9" s="13"/>
      <c r="I9" s="11"/>
    </row>
    <row r="10" spans="1:12" ht="16.5">
      <c r="A10" s="11"/>
      <c r="B10" s="24" t="s">
        <v>102</v>
      </c>
      <c r="C10" s="23" t="s">
        <v>10</v>
      </c>
      <c r="D10" s="15"/>
      <c r="E10" s="15"/>
      <c r="F10" s="15"/>
      <c r="G10" s="14"/>
      <c r="H10" s="14"/>
      <c r="I10" s="11"/>
      <c r="L10" s="27"/>
    </row>
    <row r="11" spans="1:12" ht="16.5">
      <c r="A11" s="11"/>
      <c r="B11" s="24" t="s">
        <v>107</v>
      </c>
      <c r="C11" s="14" t="str">
        <f>_xlfn.XLOOKUP(C10,'Result DB'!A2:A31,'Result DB'!B2:B31," No Name",0)</f>
        <v>Adeola Musa</v>
      </c>
      <c r="D11" s="15"/>
      <c r="E11" s="15"/>
      <c r="F11" s="15"/>
      <c r="G11" s="14"/>
      <c r="H11" s="14"/>
      <c r="I11" s="11"/>
    </row>
    <row r="12" spans="1:12" ht="16.5">
      <c r="A12" s="11"/>
      <c r="B12" s="24" t="s">
        <v>81</v>
      </c>
      <c r="C12" s="14" t="str">
        <f>VLOOKUP(C10,'Result DB'!A:C,3,FALSE)</f>
        <v>Computer Science</v>
      </c>
      <c r="D12" s="15"/>
      <c r="E12" s="15"/>
      <c r="F12" s="15"/>
      <c r="G12" s="14"/>
      <c r="H12" s="14"/>
      <c r="I12" s="11"/>
    </row>
    <row r="13" spans="1:12" ht="16.5">
      <c r="A13" s="11"/>
      <c r="B13" s="25"/>
      <c r="C13" s="15"/>
      <c r="D13" s="15"/>
      <c r="E13" s="15"/>
      <c r="F13" s="15"/>
      <c r="G13" s="14"/>
      <c r="H13" s="14"/>
      <c r="I13" s="11"/>
    </row>
    <row r="14" spans="1:12" ht="13.5">
      <c r="A14" s="11"/>
      <c r="B14" s="15"/>
      <c r="C14" s="15"/>
      <c r="D14" s="15"/>
      <c r="E14" s="15"/>
      <c r="F14" s="15"/>
      <c r="G14" s="14"/>
      <c r="H14" s="14"/>
      <c r="I14" s="11"/>
    </row>
    <row r="15" spans="1:12" ht="13.5">
      <c r="A15" s="11"/>
      <c r="B15" s="16" t="s">
        <v>82</v>
      </c>
      <c r="C15" s="16" t="s">
        <v>83</v>
      </c>
      <c r="D15" s="16" t="s">
        <v>108</v>
      </c>
      <c r="E15" s="16" t="s">
        <v>84</v>
      </c>
      <c r="F15" s="15"/>
      <c r="G15" s="17" t="s">
        <v>103</v>
      </c>
      <c r="H15" s="17"/>
      <c r="I15" s="11"/>
    </row>
    <row r="16" spans="1:12" ht="13.5">
      <c r="A16" s="11"/>
      <c r="B16" s="16">
        <v>1</v>
      </c>
      <c r="C16" s="18" t="s">
        <v>3</v>
      </c>
      <c r="D16" s="26">
        <f>VLOOKUP($C$10,Result[],4,FALSE)</f>
        <v>78</v>
      </c>
      <c r="E16" s="19" t="str">
        <f>IF(D16&gt;80,"EXCELLENT",IF(D16&gt;65,"V.GOOD",IF(D16&gt;55,"GOOD",IF(D16&gt;44,"PASS","FAIL"))))</f>
        <v>V.GOOD</v>
      </c>
      <c r="F16" s="15"/>
      <c r="G16" s="16" t="s">
        <v>89</v>
      </c>
      <c r="H16" s="19" t="s">
        <v>88</v>
      </c>
      <c r="I16" s="11"/>
    </row>
    <row r="17" spans="1:13" ht="13.5">
      <c r="A17" s="11"/>
      <c r="B17" s="16">
        <v>2</v>
      </c>
      <c r="C17" s="18" t="s">
        <v>4</v>
      </c>
      <c r="D17" s="26">
        <f>VLOOKUP($C$10,Result[],5,FALSE)</f>
        <v>65</v>
      </c>
      <c r="E17" s="19" t="str">
        <f t="shared" ref="E17:E22" si="0">IF(D17&gt;80,"EXCELLENT",IF(D17&gt;65,"V.GOOD",IF(D17&gt;55,"GOOD",IF(D17&gt;44,"PASS","FAIL"))))</f>
        <v>GOOD</v>
      </c>
      <c r="F17" s="15"/>
      <c r="G17" s="16" t="s">
        <v>90</v>
      </c>
      <c r="H17" s="19" t="s">
        <v>91</v>
      </c>
      <c r="I17" s="11"/>
    </row>
    <row r="18" spans="1:13" ht="13.5">
      <c r="A18" s="11"/>
      <c r="B18" s="16">
        <v>3</v>
      </c>
      <c r="C18" s="18" t="s">
        <v>5</v>
      </c>
      <c r="D18" s="26">
        <f>VLOOKUP($C$10,Result[],6,FALSE)</f>
        <v>44</v>
      </c>
      <c r="E18" s="19" t="str">
        <f t="shared" si="0"/>
        <v>FAIL</v>
      </c>
      <c r="F18" s="15"/>
      <c r="G18" s="16" t="s">
        <v>92</v>
      </c>
      <c r="H18" s="19" t="s">
        <v>87</v>
      </c>
      <c r="I18" s="11"/>
    </row>
    <row r="19" spans="1:13" ht="13.5">
      <c r="A19" s="11"/>
      <c r="B19" s="16">
        <v>4</v>
      </c>
      <c r="C19" s="18" t="s">
        <v>6</v>
      </c>
      <c r="D19" s="26">
        <f>VLOOKUP($C$10,Result[],7,FALSE)</f>
        <v>74</v>
      </c>
      <c r="E19" s="19" t="str">
        <f t="shared" si="0"/>
        <v>V.GOOD</v>
      </c>
      <c r="F19" s="15"/>
      <c r="G19" s="16" t="s">
        <v>93</v>
      </c>
      <c r="H19" s="19" t="s">
        <v>86</v>
      </c>
      <c r="I19" s="11"/>
    </row>
    <row r="20" spans="1:13" ht="13.5">
      <c r="A20" s="11"/>
      <c r="B20" s="16">
        <v>5</v>
      </c>
      <c r="C20" s="18" t="s">
        <v>7</v>
      </c>
      <c r="D20" s="26">
        <f>VLOOKUP($C$10,Result[],8,FALSE)</f>
        <v>69</v>
      </c>
      <c r="E20" s="19" t="str">
        <f t="shared" si="0"/>
        <v>V.GOOD</v>
      </c>
      <c r="F20" s="15"/>
      <c r="G20" s="16" t="s">
        <v>94</v>
      </c>
      <c r="H20" s="19" t="s">
        <v>85</v>
      </c>
      <c r="I20" s="11"/>
    </row>
    <row r="21" spans="1:13" ht="13.5">
      <c r="A21" s="11"/>
      <c r="B21" s="16">
        <v>6</v>
      </c>
      <c r="C21" s="18" t="s">
        <v>8</v>
      </c>
      <c r="D21" s="26">
        <f>VLOOKUP($C$10,Result[],9,FALSE)</f>
        <v>55</v>
      </c>
      <c r="E21" s="19" t="str">
        <f t="shared" si="0"/>
        <v>PASS</v>
      </c>
      <c r="F21" s="15"/>
      <c r="G21" s="14"/>
      <c r="H21" s="14"/>
      <c r="I21" s="11"/>
    </row>
    <row r="22" spans="1:13" ht="13.5">
      <c r="A22" s="11"/>
      <c r="B22" s="16">
        <v>7</v>
      </c>
      <c r="C22" s="18" t="s">
        <v>9</v>
      </c>
      <c r="D22" s="26">
        <f>VLOOKUP($C$10,Result[],10,FALSE)</f>
        <v>60</v>
      </c>
      <c r="E22" s="19" t="str">
        <f t="shared" si="0"/>
        <v>GOOD</v>
      </c>
      <c r="F22" s="15"/>
      <c r="G22" s="15"/>
      <c r="H22" s="15"/>
      <c r="I22" s="11"/>
    </row>
    <row r="23" spans="1:13" ht="13.5">
      <c r="A23" s="11"/>
      <c r="B23" s="15"/>
      <c r="C23" s="15"/>
      <c r="D23" s="15"/>
      <c r="E23" s="15"/>
      <c r="F23" s="15"/>
      <c r="G23" s="15"/>
      <c r="H23" s="15"/>
      <c r="I23" s="11"/>
      <c r="K23" s="5"/>
      <c r="L23" s="5"/>
      <c r="M23" s="5"/>
    </row>
    <row r="24" spans="1:13" ht="13.5">
      <c r="A24" s="11"/>
      <c r="B24" s="15"/>
      <c r="C24" s="15"/>
      <c r="D24" s="14"/>
      <c r="E24" s="14"/>
      <c r="F24" s="15"/>
      <c r="G24" s="15"/>
      <c r="H24" s="15"/>
      <c r="I24" s="11"/>
    </row>
    <row r="25" spans="1:13" ht="13.5">
      <c r="A25" s="11"/>
      <c r="B25" s="15"/>
      <c r="C25" s="15"/>
      <c r="D25" s="15"/>
      <c r="E25" s="15"/>
      <c r="F25" s="15"/>
      <c r="G25" s="15"/>
      <c r="H25" s="15"/>
      <c r="I25" s="11"/>
    </row>
    <row r="26" spans="1:13" ht="13.5">
      <c r="A26" s="11"/>
      <c r="B26" s="11"/>
      <c r="C26" s="11"/>
      <c r="D26" s="11"/>
      <c r="E26" s="15"/>
      <c r="F26" s="15"/>
      <c r="G26" s="16" t="s">
        <v>95</v>
      </c>
      <c r="H26" s="26">
        <f>SUM(D16:D22)</f>
        <v>445</v>
      </c>
      <c r="I26" s="14"/>
    </row>
    <row r="27" spans="1:13" ht="13.5">
      <c r="A27" s="11"/>
      <c r="B27" s="11"/>
      <c r="C27" s="11"/>
      <c r="D27" s="11"/>
      <c r="E27" s="15"/>
      <c r="F27" s="15"/>
      <c r="G27" s="16" t="s">
        <v>96</v>
      </c>
      <c r="H27" s="28">
        <f>AVERAGE(D16:D22)</f>
        <v>63.571428571428569</v>
      </c>
      <c r="I27" s="29"/>
    </row>
    <row r="28" spans="1:13" ht="13.5">
      <c r="A28" s="11"/>
      <c r="B28" s="30" t="s">
        <v>106</v>
      </c>
      <c r="C28" s="30"/>
      <c r="D28" s="31">
        <f>_xlfn.XLOOKUP(C10,'Result DB'!A:A,'Result DB'!N:N,"NON",0)</f>
        <v>24</v>
      </c>
      <c r="E28" s="15"/>
      <c r="F28" s="15"/>
      <c r="G28" s="14"/>
      <c r="H28" s="14"/>
      <c r="I28" s="15"/>
    </row>
    <row r="29" spans="1:13" ht="13.5">
      <c r="A29" s="11"/>
      <c r="B29" s="30" t="s">
        <v>98</v>
      </c>
      <c r="C29" s="30"/>
      <c r="D29" s="26">
        <f>COUNTA(Result[NAME])</f>
        <v>30</v>
      </c>
      <c r="E29" s="15"/>
      <c r="F29" s="15"/>
      <c r="G29" s="15"/>
      <c r="H29" s="15"/>
      <c r="I29" s="11"/>
    </row>
    <row r="30" spans="1:13" ht="13.5">
      <c r="A30" s="11"/>
      <c r="B30" s="32" t="s">
        <v>99</v>
      </c>
      <c r="C30" s="32"/>
      <c r="D30" s="26">
        <f>COUNTA(C16:C22)</f>
        <v>7</v>
      </c>
      <c r="E30" s="15"/>
      <c r="F30" s="15"/>
      <c r="G30" s="15"/>
      <c r="H30" s="15"/>
      <c r="I30" s="11"/>
    </row>
    <row r="31" spans="1:13">
      <c r="A31" s="20"/>
      <c r="B31" s="20"/>
      <c r="C31" s="20"/>
      <c r="D31" s="20"/>
      <c r="E31" s="20"/>
      <c r="F31" s="20"/>
      <c r="G31" s="20"/>
      <c r="H31" s="11"/>
      <c r="I31" s="11"/>
    </row>
    <row r="32" spans="1:13" ht="14.5">
      <c r="A32" s="20"/>
      <c r="B32" s="33" t="s">
        <v>97</v>
      </c>
      <c r="C32" s="21"/>
      <c r="D32" s="21"/>
      <c r="E32" s="20"/>
      <c r="F32" s="20"/>
      <c r="G32" s="20"/>
      <c r="H32" s="11"/>
      <c r="I32" s="11"/>
    </row>
    <row r="33" spans="1:9">
      <c r="A33" s="20"/>
      <c r="B33" s="22"/>
      <c r="C33" s="22"/>
      <c r="D33" s="22"/>
      <c r="E33" s="22"/>
      <c r="F33" s="22"/>
      <c r="G33" s="22"/>
      <c r="H33" s="22"/>
      <c r="I33" s="11"/>
    </row>
    <row r="34" spans="1:9">
      <c r="A34" s="20"/>
      <c r="B34" s="22"/>
      <c r="C34" s="22"/>
      <c r="D34" s="22"/>
      <c r="E34" s="22"/>
      <c r="F34" s="22"/>
      <c r="G34" s="22"/>
      <c r="H34" s="22"/>
      <c r="I34" s="11"/>
    </row>
    <row r="35" spans="1:9">
      <c r="A35" s="11"/>
      <c r="B35" s="11"/>
      <c r="C35" s="11"/>
      <c r="D35" s="11"/>
      <c r="E35" s="11"/>
      <c r="F35" s="11"/>
      <c r="G35" s="11"/>
      <c r="H35" s="11"/>
      <c r="I35" s="11"/>
    </row>
    <row r="36" spans="1:9">
      <c r="A36" s="11"/>
      <c r="B36" s="11"/>
      <c r="C36" s="11"/>
      <c r="D36" s="11"/>
      <c r="E36" s="11"/>
      <c r="F36" s="11"/>
      <c r="G36" s="11"/>
      <c r="H36" s="11"/>
      <c r="I36" s="11"/>
    </row>
    <row r="37" spans="1:9">
      <c r="A37" s="11"/>
      <c r="B37" s="11"/>
      <c r="C37" s="11"/>
      <c r="D37" s="11"/>
      <c r="E37" s="11"/>
      <c r="F37" s="11"/>
      <c r="G37" s="11"/>
      <c r="H37" s="11"/>
      <c r="I37" s="11"/>
    </row>
  </sheetData>
  <mergeCells count="7">
    <mergeCell ref="B33:H34"/>
    <mergeCell ref="G9:H9"/>
    <mergeCell ref="G15:H15"/>
    <mergeCell ref="B29:C29"/>
    <mergeCell ref="B30:C30"/>
    <mergeCell ref="B32:D32"/>
    <mergeCell ref="B28:C28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1C94BF-F6BD-4418-8419-EE40EDA209A2}">
          <x14:formula1>
            <xm:f>'Result DB'!$A$2:$A$31</xm:f>
          </x14:formula1>
          <xm:sqref>C10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310749-3EFE-4291-B98E-B2C89E47D4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 DB</vt:lpstr>
      <vt:lpstr>Sheet2</vt:lpstr>
      <vt:lpstr>maths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Erhaye</dc:creator>
  <cp:lastModifiedBy>Joy Erhaye</cp:lastModifiedBy>
  <cp:lastPrinted>2026-05-11T20:54:43Z</cp:lastPrinted>
  <dcterms:created xsi:type="dcterms:W3CDTF">2026-05-11T21:51:09Z</dcterms:created>
  <dcterms:modified xsi:type="dcterms:W3CDTF">2026-05-11T21:51:24Z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