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y.nmdrevsup\Desktop\"/>
    </mc:Choice>
  </mc:AlternateContent>
  <xr:revisionPtr revIDLastSave="0" documentId="8_{C8C951B6-B4A6-441D-9CAD-52B6698B2DC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esult DB" sheetId="1" r:id="rId1"/>
    <sheet name="Sheet2" sheetId="2" r:id="rId2"/>
  </sheets>
  <definedNames>
    <definedName name="maths">Result[MATHS]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2" l="1"/>
  <c r="D30" i="2"/>
  <c r="D16" i="2"/>
  <c r="E16" i="2" s="1"/>
  <c r="D22" i="2"/>
  <c r="E22" i="2" s="1"/>
  <c r="D21" i="2"/>
  <c r="E21" i="2" s="1"/>
  <c r="D20" i="2"/>
  <c r="E20" i="2" s="1"/>
  <c r="D19" i="2"/>
  <c r="E19" i="2" s="1"/>
  <c r="D18" i="2"/>
  <c r="E18" i="2" s="1"/>
  <c r="D17" i="2"/>
  <c r="E17" i="2" s="1"/>
  <c r="C12" i="2"/>
  <c r="C11" i="2"/>
  <c r="C27" i="2" l="1"/>
  <c r="C26" i="2"/>
</calcChain>
</file>

<file path=xl/sharedStrings.xml><?xml version="1.0" encoding="utf-8"?>
<sst xmlns="http://schemas.openxmlformats.org/spreadsheetml/2006/main" count="131" uniqueCount="104">
  <si>
    <t>STUDENT ID</t>
  </si>
  <si>
    <t>NAME</t>
  </si>
  <si>
    <t>DEPT</t>
  </si>
  <si>
    <t>MATHS</t>
  </si>
  <si>
    <t>ENGLISH</t>
  </si>
  <si>
    <t>PHY</t>
  </si>
  <si>
    <t>BIO</t>
  </si>
  <si>
    <t>CHE</t>
  </si>
  <si>
    <t>AGRIC</t>
  </si>
  <si>
    <t>GEO</t>
  </si>
  <si>
    <t>IKT34</t>
  </si>
  <si>
    <t>Adeola Musa</t>
  </si>
  <si>
    <t>Computer Science</t>
  </si>
  <si>
    <t>IKT02</t>
  </si>
  <si>
    <t>Tunde Balogun</t>
  </si>
  <si>
    <t>Accounting</t>
  </si>
  <si>
    <t>IKT89</t>
  </si>
  <si>
    <t>Chioma Okeke</t>
  </si>
  <si>
    <t>Biology</t>
  </si>
  <si>
    <t>IKT11</t>
  </si>
  <si>
    <t>Ibrahim Bello</t>
  </si>
  <si>
    <t>Engineering</t>
  </si>
  <si>
    <t>IKT53</t>
  </si>
  <si>
    <t>Ngozi Eze</t>
  </si>
  <si>
    <t>Economics</t>
  </si>
  <si>
    <t>IKT27</t>
  </si>
  <si>
    <t>Samuel Adeyemi</t>
  </si>
  <si>
    <t>Geography</t>
  </si>
  <si>
    <t>IKT75</t>
  </si>
  <si>
    <t>Ruth Akinwale</t>
  </si>
  <si>
    <t>Microbiology</t>
  </si>
  <si>
    <t>IKT20</t>
  </si>
  <si>
    <t>Emeka Obi</t>
  </si>
  <si>
    <t>Physics</t>
  </si>
  <si>
    <t>IKT61</t>
  </si>
  <si>
    <t>Zainab Sadiq</t>
  </si>
  <si>
    <t>Chemistry</t>
  </si>
  <si>
    <t>IKT08</t>
  </si>
  <si>
    <t>David Ojo</t>
  </si>
  <si>
    <t>IKT44</t>
  </si>
  <si>
    <t>Grace Nwosu</t>
  </si>
  <si>
    <t>IKT92</t>
  </si>
  <si>
    <t>Kingsley Uche</t>
  </si>
  <si>
    <t>IKT36</t>
  </si>
  <si>
    <t>Amina Bello</t>
  </si>
  <si>
    <t>Agriculture</t>
  </si>
  <si>
    <t>IKT14</t>
  </si>
  <si>
    <t>Peter Okon</t>
  </si>
  <si>
    <t>Geology</t>
  </si>
  <si>
    <t>IKT71</t>
  </si>
  <si>
    <t>Blessing Eze</t>
  </si>
  <si>
    <t>IKT16</t>
  </si>
  <si>
    <t>Kolade Lawal</t>
  </si>
  <si>
    <t>IKT50</t>
  </si>
  <si>
    <t>Halima Musa</t>
  </si>
  <si>
    <t>IKT83</t>
  </si>
  <si>
    <t>Victor James</t>
  </si>
  <si>
    <t>IKT05</t>
  </si>
  <si>
    <t>Joy Olatunji</t>
  </si>
  <si>
    <t>IKT99</t>
  </si>
  <si>
    <t>Sani Abdullahi</t>
  </si>
  <si>
    <t>IKT21</t>
  </si>
  <si>
    <t>Esther Okafor</t>
  </si>
  <si>
    <t>IKT64</t>
  </si>
  <si>
    <t>Adewale Yusuf</t>
  </si>
  <si>
    <t>IKT03</t>
  </si>
  <si>
    <t>Chinedu Nnamdi</t>
  </si>
  <si>
    <t>IKT57</t>
  </si>
  <si>
    <t>Maryam Aliyu</t>
  </si>
  <si>
    <t>IKT41</t>
  </si>
  <si>
    <t>Paul Johnson</t>
  </si>
  <si>
    <t>IKT12</t>
  </si>
  <si>
    <t>Lilian Obi</t>
  </si>
  <si>
    <t>IKT68</t>
  </si>
  <si>
    <t>Usman Garba</t>
  </si>
  <si>
    <t>IKT25</t>
  </si>
  <si>
    <t>Rachel Danjuma</t>
  </si>
  <si>
    <t>IKT77</t>
  </si>
  <si>
    <t>Stephen Adeoye</t>
  </si>
  <si>
    <t>IKT01</t>
  </si>
  <si>
    <t>Fatima Lawal</t>
  </si>
  <si>
    <t>Name:</t>
  </si>
  <si>
    <t>Student ID:</t>
  </si>
  <si>
    <t>Department</t>
  </si>
  <si>
    <t>S/N</t>
  </si>
  <si>
    <t>SUBJECTS</t>
  </si>
  <si>
    <t>SCORE</t>
  </si>
  <si>
    <t>GRADE</t>
  </si>
  <si>
    <t>FAIL</t>
  </si>
  <si>
    <t>PASS</t>
  </si>
  <si>
    <t>GOOD</t>
  </si>
  <si>
    <t>EXCELLENT</t>
  </si>
  <si>
    <t>GRADE CLASSIFICATION</t>
  </si>
  <si>
    <t>80-100</t>
  </si>
  <si>
    <t>65-79</t>
  </si>
  <si>
    <t>V. GOOD</t>
  </si>
  <si>
    <t>55-64</t>
  </si>
  <si>
    <t>45-54</t>
  </si>
  <si>
    <t>39-44</t>
  </si>
  <si>
    <t>TOTAL</t>
  </si>
  <si>
    <t>AVERAGE</t>
  </si>
  <si>
    <t>TEACHER'S COMMENT</t>
  </si>
  <si>
    <t>NUMBER OF STUDENT</t>
  </si>
  <si>
    <t>NUMBER OF 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</si>
</sst>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b/>
      <sz val="11"/>
      <color theme="1"/>
      <name val="'Segoe UI'"/>
    </font>
    <font>
      <sz val="11"/>
      <color theme="1"/>
      <name val="'Segoe UI'"/>
    </font>
    <font>
      <sz val="11"/>
      <color theme="1"/>
      <name val="Arial"/>
      <family val="2"/>
    </font>
    <font>
      <sz val="10"/>
      <color rgb="FF000000"/>
      <name val="Segoe Fluent Icons"/>
      <family val="1"/>
    </font>
    <font>
      <b/>
      <sz val="18"/>
      <color rgb="FF000000"/>
      <name val="Segoe Fluent Icons"/>
      <family val="1"/>
    </font>
    <font>
      <sz val="11"/>
      <color rgb="FF000000"/>
      <name val="Segoe Fluent Icons"/>
      <family val="1"/>
    </font>
    <font>
      <b/>
      <sz val="11"/>
      <color rgb="FF000000"/>
      <name val="Segoe Fluent Icons"/>
      <family val="1"/>
    </font>
    <font>
      <sz val="11"/>
      <color theme="1"/>
      <name val="Segoe Fluent Icons"/>
      <family val="1"/>
    </font>
    <font>
      <b/>
      <sz val="11"/>
      <color theme="1"/>
      <name val="Segoe Fluent Icons"/>
      <family val="1"/>
    </font>
    <font>
      <sz val="12"/>
      <color rgb="FF000000"/>
      <name val="Segoe Fluent Icons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4" fillId="2" borderId="0" xfId="0" applyFont="1" applyFill="1" applyAlignment="1"/>
    <xf numFmtId="0" fontId="4" fillId="0" borderId="0" xfId="0" applyFont="1" applyAlignment="1"/>
    <xf numFmtId="0" fontId="5" fillId="2" borderId="0" xfId="0" applyFont="1" applyFill="1" applyAlignment="1"/>
    <xf numFmtId="0" fontId="4" fillId="2" borderId="0" xfId="0" applyFont="1" applyFill="1" applyBorder="1" applyAlignment="1">
      <alignment horizontal="center"/>
    </xf>
    <xf numFmtId="0" fontId="6" fillId="2" borderId="1" xfId="0" applyFont="1" applyFill="1" applyBorder="1" applyAlignment="1"/>
    <xf numFmtId="0" fontId="6" fillId="2" borderId="0" xfId="0" applyFont="1" applyFill="1" applyAlignment="1"/>
    <xf numFmtId="0" fontId="6" fillId="2" borderId="0" xfId="0" applyFont="1" applyFill="1" applyBorder="1" applyAlignment="1"/>
    <xf numFmtId="0" fontId="7" fillId="2" borderId="1" xfId="0" applyFont="1" applyFill="1" applyBorder="1" applyAlignment="1"/>
    <xf numFmtId="0" fontId="6" fillId="2" borderId="0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1" fontId="6" fillId="2" borderId="1" xfId="0" applyNumberFormat="1" applyFont="1" applyFill="1" applyBorder="1" applyAlignment="1">
      <alignment horizontal="center"/>
    </xf>
    <xf numFmtId="0" fontId="6" fillId="2" borderId="0" xfId="0" applyFont="1" applyFill="1" applyBorder="1" applyAlignment="1"/>
    <xf numFmtId="0" fontId="6" fillId="2" borderId="0" xfId="0" applyFont="1" applyFill="1" applyBorder="1" applyAlignment="1">
      <alignment horizontal="left"/>
    </xf>
    <xf numFmtId="0" fontId="4" fillId="2" borderId="0" xfId="0" applyFont="1" applyFill="1" applyBorder="1" applyAlignment="1"/>
    <xf numFmtId="0" fontId="10" fillId="2" borderId="0" xfId="0" applyFont="1" applyFill="1" applyBorder="1" applyAlignment="1">
      <alignment horizontal="left"/>
    </xf>
    <xf numFmtId="0" fontId="4" fillId="2" borderId="1" xfId="0" applyFont="1" applyFill="1" applyBorder="1" applyAlignment="1"/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'Segoe UI'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5445</xdr:colOff>
      <xdr:row>2</xdr:row>
      <xdr:rowOff>63501</xdr:rowOff>
    </xdr:from>
    <xdr:to>
      <xdr:col>8</xdr:col>
      <xdr:colOff>317503</xdr:colOff>
      <xdr:row>8</xdr:row>
      <xdr:rowOff>-1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2BFB73-D5C5-4598-9B64-BC68BF3C633A}"/>
            </a:ext>
          </a:extLst>
        </xdr:cNvPr>
        <xdr:cNvGrpSpPr/>
      </xdr:nvGrpSpPr>
      <xdr:grpSpPr>
        <a:xfrm>
          <a:off x="613231" y="390072"/>
          <a:ext cx="5546272" cy="1124856"/>
          <a:chOff x="830944" y="517072"/>
          <a:chExt cx="5168189" cy="1124856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C1E4FB68-AC47-49C4-B68B-42114E997FB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830944" y="521608"/>
            <a:ext cx="1291771" cy="757463"/>
          </a:xfrm>
          <a:prstGeom prst="rect">
            <a:avLst/>
          </a:prstGeom>
        </xdr:spPr>
      </xdr:pic>
      <xdr:sp macro="" textlink="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2634264D-869E-457B-92A4-4D5BD80DEF32}"/>
              </a:ext>
            </a:extLst>
          </xdr:cNvPr>
          <xdr:cNvSpPr/>
        </xdr:nvSpPr>
        <xdr:spPr>
          <a:xfrm>
            <a:off x="2297991" y="517072"/>
            <a:ext cx="3701142" cy="1124856"/>
          </a:xfrm>
          <a:prstGeom prst="roundRect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2800">
                <a:solidFill>
                  <a:schemeClr val="bg1"/>
                </a:solidFill>
                <a:latin typeface="Algerian" panose="04020705040A02060702" pitchFamily="82" charset="0"/>
              </a:rPr>
              <a:t>IOTBTECH</a:t>
            </a:r>
          </a:p>
          <a:p>
            <a:pPr algn="ctr"/>
            <a:r>
              <a:rPr lang="en-US" sz="1000">
                <a:solidFill>
                  <a:schemeClr val="bg1"/>
                </a:solidFill>
                <a:latin typeface="Algerian" panose="04020705040A02060702" pitchFamily="82" charset="0"/>
              </a:rPr>
              <a:t>international</a:t>
            </a:r>
            <a:r>
              <a:rPr lang="en-US" sz="1000" baseline="0">
                <a:solidFill>
                  <a:schemeClr val="bg1"/>
                </a:solidFill>
                <a:latin typeface="Algerian" panose="04020705040A02060702" pitchFamily="82" charset="0"/>
              </a:rPr>
              <a:t> school</a:t>
            </a:r>
          </a:p>
          <a:p>
            <a:pPr algn="ctr"/>
            <a:endParaRPr lang="en-US" sz="900">
              <a:solidFill>
                <a:schemeClr val="bg1"/>
              </a:solidFill>
              <a:latin typeface="Algerian" panose="04020705040A02060702" pitchFamily="82" charset="0"/>
            </a:endParaRPr>
          </a:p>
        </xdr:txBody>
      </xdr:sp>
    </xdr:grpSp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3A45DC-3D95-4A1B-B81D-B19A07B2F051}" name="Result" displayName="Result" ref="A1:J31" totalsRowShown="0" headerRowDxfId="11" dataDxfId="10">
  <autoFilter ref="A1:J31" xr:uid="{BC3A45DC-3D95-4A1B-B81D-B19A07B2F051}"/>
  <tableColumns count="10">
    <tableColumn id="1" xr3:uid="{3F81594C-D38A-45A3-A439-D13BBC5368B9}" name="STUDENT ID" dataDxfId="9"/>
    <tableColumn id="2" xr3:uid="{76980332-C9F6-408D-8972-E7E8448C59C5}" name="NAME" dataDxfId="8"/>
    <tableColumn id="3" xr3:uid="{68508035-1E6F-4431-8AEF-8C46EC38B1CF}" name="DEPT" dataDxfId="7"/>
    <tableColumn id="4" xr3:uid="{150F171E-6F68-4740-AF07-D2B928E32D22}" name="MATHS" dataDxfId="6"/>
    <tableColumn id="5" xr3:uid="{ACC65F77-96C0-4AEC-AB7D-3E2739D057DC}" name="ENGLISH" dataDxfId="5"/>
    <tableColumn id="6" xr3:uid="{E16C25E0-D000-4C69-B095-CEA645B02652}" name="PHY" dataDxfId="4"/>
    <tableColumn id="7" xr3:uid="{67DBF80B-A600-4AFA-853D-06E90705E13D}" name="BIO" dataDxfId="3"/>
    <tableColumn id="8" xr3:uid="{0270152C-B573-450B-8E2E-D6B44AB6120E}" name="CHE" dataDxfId="2"/>
    <tableColumn id="9" xr3:uid="{EC2CD4A8-EA99-4969-AD0E-5CC4463043C8}" name="AGRIC" dataDxfId="1"/>
    <tableColumn id="10" xr3:uid="{628E6B5C-6D2D-4159-98E9-107BFBA5BE14}" name="G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31"/>
  <sheetViews>
    <sheetView topLeftCell="A12" workbookViewId="0">
      <selection activeCell="B2" sqref="B2:B31"/>
    </sheetView>
  </sheetViews>
  <sheetFormatPr defaultColWidth="12.6328125" defaultRowHeight="15.75" customHeight="1"/>
  <cols>
    <col min="1" max="1" width="15.08984375" customWidth="1"/>
    <col min="2" max="2" width="15.7265625" bestFit="1" customWidth="1"/>
    <col min="3" max="3" width="17.1796875" bestFit="1" customWidth="1"/>
  </cols>
  <sheetData>
    <row r="1" spans="1:10" ht="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4">
      <c r="A2" s="2" t="s">
        <v>10</v>
      </c>
      <c r="B2" s="2" t="s">
        <v>11</v>
      </c>
      <c r="C2" s="2" t="s">
        <v>12</v>
      </c>
      <c r="D2" s="2">
        <v>78</v>
      </c>
      <c r="E2" s="2">
        <v>65</v>
      </c>
      <c r="F2" s="3">
        <v>44</v>
      </c>
      <c r="G2" s="2">
        <v>74</v>
      </c>
      <c r="H2" s="2">
        <v>69</v>
      </c>
      <c r="I2" s="2">
        <v>55</v>
      </c>
      <c r="J2" s="2">
        <v>60</v>
      </c>
    </row>
    <row r="3" spans="1:10" ht="14">
      <c r="A3" s="2" t="s">
        <v>13</v>
      </c>
      <c r="B3" s="2" t="s">
        <v>14</v>
      </c>
      <c r="C3" s="2" t="s">
        <v>15</v>
      </c>
      <c r="D3" s="2">
        <v>55</v>
      </c>
      <c r="E3" s="2">
        <v>60</v>
      </c>
      <c r="F3" s="2">
        <v>48</v>
      </c>
      <c r="G3" s="2">
        <v>52</v>
      </c>
      <c r="H3" s="2">
        <v>72</v>
      </c>
      <c r="I3" s="2">
        <v>67</v>
      </c>
      <c r="J3" s="2">
        <v>58</v>
      </c>
    </row>
    <row r="4" spans="1:10" ht="14">
      <c r="A4" s="2" t="s">
        <v>16</v>
      </c>
      <c r="B4" s="2" t="s">
        <v>17</v>
      </c>
      <c r="C4" s="2" t="s">
        <v>18</v>
      </c>
      <c r="D4" s="2">
        <v>85</v>
      </c>
      <c r="E4" s="2">
        <v>79</v>
      </c>
      <c r="F4" s="2">
        <v>74</v>
      </c>
      <c r="G4" s="2">
        <v>88</v>
      </c>
      <c r="H4" s="2">
        <v>81</v>
      </c>
      <c r="I4" s="2">
        <v>70</v>
      </c>
      <c r="J4" s="2">
        <v>72</v>
      </c>
    </row>
    <row r="5" spans="1:10" ht="14">
      <c r="A5" s="2" t="s">
        <v>19</v>
      </c>
      <c r="B5" s="2" t="s">
        <v>20</v>
      </c>
      <c r="C5" s="2" t="s">
        <v>21</v>
      </c>
      <c r="D5" s="2">
        <v>90</v>
      </c>
      <c r="E5" s="2">
        <v>76</v>
      </c>
      <c r="F5" s="2">
        <v>88</v>
      </c>
      <c r="G5" s="3">
        <v>55</v>
      </c>
      <c r="H5" s="2">
        <v>84</v>
      </c>
      <c r="I5" s="2">
        <v>73</v>
      </c>
      <c r="J5" s="2">
        <v>75</v>
      </c>
    </row>
    <row r="6" spans="1:10" ht="14">
      <c r="A6" s="2" t="s">
        <v>22</v>
      </c>
      <c r="B6" s="2" t="s">
        <v>23</v>
      </c>
      <c r="C6" s="2" t="s">
        <v>24</v>
      </c>
      <c r="D6" s="2">
        <v>62</v>
      </c>
      <c r="E6" s="2">
        <v>70</v>
      </c>
      <c r="F6" s="2">
        <v>58</v>
      </c>
      <c r="G6" s="2">
        <v>60</v>
      </c>
      <c r="H6" s="2">
        <v>64</v>
      </c>
      <c r="I6" s="2">
        <v>66</v>
      </c>
      <c r="J6" s="2">
        <v>59</v>
      </c>
    </row>
    <row r="7" spans="1:10" ht="14">
      <c r="A7" s="2" t="s">
        <v>25</v>
      </c>
      <c r="B7" s="2" t="s">
        <v>26</v>
      </c>
      <c r="C7" s="2" t="s">
        <v>27</v>
      </c>
      <c r="D7" s="2">
        <v>71</v>
      </c>
      <c r="E7" s="2">
        <v>68</v>
      </c>
      <c r="F7" s="2">
        <v>72</v>
      </c>
      <c r="G7" s="2">
        <v>65</v>
      </c>
      <c r="H7" s="2">
        <v>60</v>
      </c>
      <c r="I7" s="2">
        <v>75</v>
      </c>
      <c r="J7" s="3">
        <v>44</v>
      </c>
    </row>
    <row r="8" spans="1:10" ht="14">
      <c r="A8" s="2" t="s">
        <v>28</v>
      </c>
      <c r="B8" s="2" t="s">
        <v>29</v>
      </c>
      <c r="C8" s="2" t="s">
        <v>30</v>
      </c>
      <c r="D8" s="3">
        <v>44</v>
      </c>
      <c r="E8" s="2">
        <v>74</v>
      </c>
      <c r="F8" s="2">
        <v>78</v>
      </c>
      <c r="G8" s="2">
        <v>82</v>
      </c>
      <c r="H8" s="2">
        <v>77</v>
      </c>
      <c r="I8" s="2">
        <v>69</v>
      </c>
      <c r="J8" s="2">
        <v>70</v>
      </c>
    </row>
    <row r="9" spans="1:10" ht="14">
      <c r="A9" s="2" t="s">
        <v>31</v>
      </c>
      <c r="B9" s="2" t="s">
        <v>32</v>
      </c>
      <c r="C9" s="2" t="s">
        <v>33</v>
      </c>
      <c r="D9" s="3">
        <v>44</v>
      </c>
      <c r="E9" s="2">
        <v>66</v>
      </c>
      <c r="F9" s="2">
        <v>91</v>
      </c>
      <c r="G9" s="2">
        <v>73</v>
      </c>
      <c r="H9" s="2">
        <v>85</v>
      </c>
      <c r="I9" s="2">
        <v>60</v>
      </c>
      <c r="J9" s="2">
        <v>64</v>
      </c>
    </row>
    <row r="10" spans="1:10" ht="14">
      <c r="A10" s="2" t="s">
        <v>34</v>
      </c>
      <c r="B10" s="2" t="s">
        <v>35</v>
      </c>
      <c r="C10" s="2" t="s">
        <v>36</v>
      </c>
      <c r="D10" s="2">
        <v>73</v>
      </c>
      <c r="E10" s="2">
        <v>70</v>
      </c>
      <c r="F10" s="2">
        <v>75</v>
      </c>
      <c r="G10" s="2">
        <v>68</v>
      </c>
      <c r="H10" s="2">
        <v>80</v>
      </c>
      <c r="I10" s="2">
        <v>65</v>
      </c>
      <c r="J10" s="2">
        <v>69</v>
      </c>
    </row>
    <row r="11" spans="1:10" ht="14">
      <c r="A11" s="2" t="s">
        <v>37</v>
      </c>
      <c r="B11" s="2" t="s">
        <v>38</v>
      </c>
      <c r="C11" s="2" t="s">
        <v>21</v>
      </c>
      <c r="D11" s="3">
        <v>44</v>
      </c>
      <c r="E11" s="2">
        <v>77</v>
      </c>
      <c r="F11" s="3">
        <v>55</v>
      </c>
      <c r="G11" s="2">
        <v>79</v>
      </c>
      <c r="H11" s="2">
        <v>81</v>
      </c>
      <c r="I11" s="2">
        <v>72</v>
      </c>
      <c r="J11" s="2">
        <v>74</v>
      </c>
    </row>
    <row r="12" spans="1:10" ht="14">
      <c r="A12" s="2" t="s">
        <v>39</v>
      </c>
      <c r="B12" s="2" t="s">
        <v>40</v>
      </c>
      <c r="C12" s="2" t="s">
        <v>18</v>
      </c>
      <c r="D12" s="3">
        <v>56</v>
      </c>
      <c r="E12" s="2">
        <v>72</v>
      </c>
      <c r="F12" s="2">
        <v>65</v>
      </c>
      <c r="G12" s="2">
        <v>70</v>
      </c>
      <c r="H12" s="2">
        <v>68</v>
      </c>
      <c r="I12" s="2">
        <v>64</v>
      </c>
      <c r="J12" s="2">
        <v>66</v>
      </c>
    </row>
    <row r="13" spans="1:10" ht="14">
      <c r="A13" s="2" t="s">
        <v>41</v>
      </c>
      <c r="B13" s="2" t="s">
        <v>42</v>
      </c>
      <c r="C13" s="2" t="s">
        <v>12</v>
      </c>
      <c r="D13" s="2">
        <v>75</v>
      </c>
      <c r="E13" s="2">
        <v>71</v>
      </c>
      <c r="F13" s="3">
        <v>66</v>
      </c>
      <c r="G13" s="2">
        <v>74</v>
      </c>
      <c r="H13" s="2">
        <v>72</v>
      </c>
      <c r="I13" s="2">
        <v>69</v>
      </c>
      <c r="J13" s="2">
        <v>70</v>
      </c>
    </row>
    <row r="14" spans="1:10" ht="14">
      <c r="A14" s="2" t="s">
        <v>43</v>
      </c>
      <c r="B14" s="2" t="s">
        <v>44</v>
      </c>
      <c r="C14" s="2" t="s">
        <v>45</v>
      </c>
      <c r="D14" s="2">
        <v>66</v>
      </c>
      <c r="E14" s="2">
        <v>68</v>
      </c>
      <c r="F14" s="2">
        <v>62</v>
      </c>
      <c r="G14" s="2">
        <v>64</v>
      </c>
      <c r="H14" s="2">
        <v>65</v>
      </c>
      <c r="I14" s="2">
        <v>78</v>
      </c>
      <c r="J14" s="2">
        <v>72</v>
      </c>
    </row>
    <row r="15" spans="1:10" ht="14">
      <c r="A15" s="2" t="s">
        <v>46</v>
      </c>
      <c r="B15" s="2" t="s">
        <v>47</v>
      </c>
      <c r="C15" s="2" t="s">
        <v>48</v>
      </c>
      <c r="D15" s="3">
        <v>55</v>
      </c>
      <c r="E15" s="2">
        <v>73</v>
      </c>
      <c r="F15" s="2">
        <v>76</v>
      </c>
      <c r="G15" s="2">
        <v>68</v>
      </c>
      <c r="H15" s="2">
        <v>74</v>
      </c>
      <c r="I15" s="2">
        <v>60</v>
      </c>
      <c r="J15" s="2">
        <v>82</v>
      </c>
    </row>
    <row r="16" spans="1:10" ht="14">
      <c r="A16" s="2" t="s">
        <v>49</v>
      </c>
      <c r="B16" s="2" t="s">
        <v>50</v>
      </c>
      <c r="C16" s="2" t="s">
        <v>15</v>
      </c>
      <c r="D16" s="2">
        <v>72</v>
      </c>
      <c r="E16" s="2">
        <v>65</v>
      </c>
      <c r="F16" s="2">
        <v>60</v>
      </c>
      <c r="G16" s="2">
        <v>58</v>
      </c>
      <c r="H16" s="2">
        <v>69</v>
      </c>
      <c r="I16" s="2">
        <v>70</v>
      </c>
      <c r="J16" s="3">
        <v>44</v>
      </c>
    </row>
    <row r="17" spans="1:10" ht="14">
      <c r="A17" s="2" t="s">
        <v>51</v>
      </c>
      <c r="B17" s="2" t="s">
        <v>52</v>
      </c>
      <c r="C17" s="2" t="s">
        <v>24</v>
      </c>
      <c r="D17" s="2">
        <v>68</v>
      </c>
      <c r="E17" s="2">
        <v>72</v>
      </c>
      <c r="F17" s="2">
        <v>70</v>
      </c>
      <c r="G17" s="2">
        <v>66</v>
      </c>
      <c r="H17" s="2">
        <v>71</v>
      </c>
      <c r="I17" s="2">
        <v>63</v>
      </c>
      <c r="J17" s="2">
        <v>60</v>
      </c>
    </row>
    <row r="18" spans="1:10" ht="14">
      <c r="A18" s="2" t="s">
        <v>53</v>
      </c>
      <c r="B18" s="2" t="s">
        <v>54</v>
      </c>
      <c r="C18" s="2" t="s">
        <v>45</v>
      </c>
      <c r="D18" s="2">
        <v>64</v>
      </c>
      <c r="E18" s="2">
        <v>66</v>
      </c>
      <c r="F18" s="3">
        <v>55</v>
      </c>
      <c r="G18" s="2">
        <v>65</v>
      </c>
      <c r="H18" s="2">
        <v>68</v>
      </c>
      <c r="I18" s="2">
        <v>74</v>
      </c>
      <c r="J18" s="2">
        <v>70</v>
      </c>
    </row>
    <row r="19" spans="1:10" ht="14">
      <c r="A19" s="2" t="s">
        <v>55</v>
      </c>
      <c r="B19" s="2" t="s">
        <v>56</v>
      </c>
      <c r="C19" s="2" t="s">
        <v>33</v>
      </c>
      <c r="D19" s="2">
        <v>77</v>
      </c>
      <c r="E19" s="3">
        <v>55</v>
      </c>
      <c r="F19" s="2">
        <v>85</v>
      </c>
      <c r="G19" s="2">
        <v>70</v>
      </c>
      <c r="H19" s="2">
        <v>80</v>
      </c>
      <c r="I19" s="2">
        <v>66</v>
      </c>
      <c r="J19" s="2">
        <v>68</v>
      </c>
    </row>
    <row r="20" spans="1:10" ht="14">
      <c r="A20" s="2" t="s">
        <v>57</v>
      </c>
      <c r="B20" s="2" t="s">
        <v>58</v>
      </c>
      <c r="C20" s="2" t="s">
        <v>30</v>
      </c>
      <c r="D20" s="2">
        <v>73</v>
      </c>
      <c r="E20" s="2">
        <v>75</v>
      </c>
      <c r="F20" s="2">
        <v>70</v>
      </c>
      <c r="G20" s="2">
        <v>76</v>
      </c>
      <c r="H20" s="2">
        <v>72</v>
      </c>
      <c r="I20" s="2">
        <v>65</v>
      </c>
      <c r="J20" s="2">
        <v>67</v>
      </c>
    </row>
    <row r="21" spans="1:10" ht="14">
      <c r="A21" s="2" t="s">
        <v>59</v>
      </c>
      <c r="B21" s="2" t="s">
        <v>60</v>
      </c>
      <c r="C21" s="2" t="s">
        <v>21</v>
      </c>
      <c r="D21" s="3">
        <v>55</v>
      </c>
      <c r="E21" s="2">
        <v>78</v>
      </c>
      <c r="F21" s="3">
        <v>25</v>
      </c>
      <c r="G21" s="2">
        <v>82</v>
      </c>
      <c r="H21" s="3">
        <v>22</v>
      </c>
      <c r="I21" s="2">
        <v>80</v>
      </c>
      <c r="J21" s="2">
        <v>79</v>
      </c>
    </row>
    <row r="22" spans="1:10" ht="14">
      <c r="A22" s="2" t="s">
        <v>61</v>
      </c>
      <c r="B22" s="2" t="s">
        <v>62</v>
      </c>
      <c r="C22" s="2" t="s">
        <v>18</v>
      </c>
      <c r="D22" s="2">
        <v>74</v>
      </c>
      <c r="E22" s="2">
        <v>76</v>
      </c>
      <c r="F22" s="2">
        <v>72</v>
      </c>
      <c r="G22" s="2">
        <v>78</v>
      </c>
      <c r="H22" s="2">
        <v>75</v>
      </c>
      <c r="I22" s="2">
        <v>68</v>
      </c>
      <c r="J22" s="2">
        <v>70</v>
      </c>
    </row>
    <row r="23" spans="1:10" ht="14">
      <c r="A23" s="2" t="s">
        <v>63</v>
      </c>
      <c r="B23" s="2" t="s">
        <v>64</v>
      </c>
      <c r="C23" s="2" t="s">
        <v>27</v>
      </c>
      <c r="D23" s="2">
        <v>69</v>
      </c>
      <c r="E23" s="2">
        <v>70</v>
      </c>
      <c r="F23" s="2">
        <v>68</v>
      </c>
      <c r="G23" s="2">
        <v>66</v>
      </c>
      <c r="H23" s="2">
        <v>72</v>
      </c>
      <c r="I23" s="2">
        <v>74</v>
      </c>
      <c r="J23" s="2">
        <v>81</v>
      </c>
    </row>
    <row r="24" spans="1:10" ht="14">
      <c r="A24" s="2" t="s">
        <v>65</v>
      </c>
      <c r="B24" s="2" t="s">
        <v>66</v>
      </c>
      <c r="C24" s="2" t="s">
        <v>12</v>
      </c>
      <c r="D24" s="2">
        <v>82</v>
      </c>
      <c r="E24" s="2">
        <v>79</v>
      </c>
      <c r="F24" s="2">
        <v>84</v>
      </c>
      <c r="G24" s="2">
        <v>80</v>
      </c>
      <c r="H24" s="2">
        <v>78</v>
      </c>
      <c r="I24" s="2">
        <v>72</v>
      </c>
      <c r="J24" s="2">
        <v>73</v>
      </c>
    </row>
    <row r="25" spans="1:10" ht="14">
      <c r="A25" s="2" t="s">
        <v>67</v>
      </c>
      <c r="B25" s="2" t="s">
        <v>68</v>
      </c>
      <c r="C25" s="2" t="s">
        <v>36</v>
      </c>
      <c r="D25" s="2">
        <v>70</v>
      </c>
      <c r="E25" s="2">
        <v>74</v>
      </c>
      <c r="F25" s="2">
        <v>68</v>
      </c>
      <c r="G25" s="3">
        <v>55</v>
      </c>
      <c r="H25" s="2">
        <v>75</v>
      </c>
      <c r="I25" s="2">
        <v>77</v>
      </c>
      <c r="J25" s="2">
        <v>69</v>
      </c>
    </row>
    <row r="26" spans="1:10" ht="14">
      <c r="A26" s="2" t="s">
        <v>69</v>
      </c>
      <c r="B26" s="2" t="s">
        <v>70</v>
      </c>
      <c r="C26" s="2" t="s">
        <v>21</v>
      </c>
      <c r="D26" s="3">
        <v>55</v>
      </c>
      <c r="E26" s="2">
        <v>80</v>
      </c>
      <c r="F26" s="2">
        <v>90</v>
      </c>
      <c r="G26" s="2">
        <v>78</v>
      </c>
      <c r="H26" s="2">
        <v>84</v>
      </c>
      <c r="I26" s="2">
        <v>76</v>
      </c>
      <c r="J26" s="2">
        <v>75</v>
      </c>
    </row>
    <row r="27" spans="1:10" ht="14">
      <c r="A27" s="2" t="s">
        <v>71</v>
      </c>
      <c r="B27" s="2" t="s">
        <v>72</v>
      </c>
      <c r="C27" s="2" t="s">
        <v>15</v>
      </c>
      <c r="D27" s="2">
        <v>65</v>
      </c>
      <c r="E27" s="2">
        <v>70</v>
      </c>
      <c r="F27" s="2">
        <v>60</v>
      </c>
      <c r="G27" s="2">
        <v>62</v>
      </c>
      <c r="H27" s="2">
        <v>68</v>
      </c>
      <c r="I27" s="3">
        <v>55</v>
      </c>
      <c r="J27" s="2">
        <v>64</v>
      </c>
    </row>
    <row r="28" spans="1:10" ht="14">
      <c r="A28" s="2" t="s">
        <v>73</v>
      </c>
      <c r="B28" s="2" t="s">
        <v>74</v>
      </c>
      <c r="C28" s="2" t="s">
        <v>45</v>
      </c>
      <c r="D28" s="3">
        <v>44</v>
      </c>
      <c r="E28" s="2">
        <v>66</v>
      </c>
      <c r="F28" s="2">
        <v>70</v>
      </c>
      <c r="G28" s="2">
        <v>72</v>
      </c>
      <c r="H28" s="3">
        <v>44</v>
      </c>
      <c r="I28" s="3">
        <v>55</v>
      </c>
      <c r="J28" s="2">
        <v>74</v>
      </c>
    </row>
    <row r="29" spans="1:10" ht="14">
      <c r="A29" s="2" t="s">
        <v>75</v>
      </c>
      <c r="B29" s="2" t="s">
        <v>76</v>
      </c>
      <c r="C29" s="2" t="s">
        <v>18</v>
      </c>
      <c r="D29" s="2">
        <v>75</v>
      </c>
      <c r="E29" s="2">
        <v>78</v>
      </c>
      <c r="F29" s="3">
        <v>55</v>
      </c>
      <c r="G29" s="3">
        <v>44</v>
      </c>
      <c r="H29" s="2">
        <v>77</v>
      </c>
      <c r="I29" s="2">
        <v>70</v>
      </c>
      <c r="J29" s="2">
        <v>72</v>
      </c>
    </row>
    <row r="30" spans="1:10" ht="14">
      <c r="A30" s="2" t="s">
        <v>77</v>
      </c>
      <c r="B30" s="2" t="s">
        <v>78</v>
      </c>
      <c r="C30" s="2" t="s">
        <v>33</v>
      </c>
      <c r="D30" s="2">
        <v>80</v>
      </c>
      <c r="E30" s="2">
        <v>74</v>
      </c>
      <c r="F30" s="2">
        <v>85</v>
      </c>
      <c r="G30" s="2">
        <v>78</v>
      </c>
      <c r="H30" s="2">
        <v>82</v>
      </c>
      <c r="I30" s="2">
        <v>69</v>
      </c>
      <c r="J30" s="2">
        <v>71</v>
      </c>
    </row>
    <row r="31" spans="1:10" ht="14">
      <c r="A31" s="2" t="s">
        <v>79</v>
      </c>
      <c r="B31" s="2" t="s">
        <v>80</v>
      </c>
      <c r="C31" s="2" t="s">
        <v>24</v>
      </c>
      <c r="D31" s="2">
        <v>72</v>
      </c>
      <c r="E31" s="2">
        <v>75</v>
      </c>
      <c r="F31" s="2">
        <v>70</v>
      </c>
      <c r="G31" s="2">
        <v>68</v>
      </c>
      <c r="H31" s="2">
        <v>73</v>
      </c>
      <c r="I31" s="2">
        <v>77</v>
      </c>
      <c r="J31" s="2">
        <v>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48E-8086-4AB7-B328-7F8C928E7D78}">
  <dimension ref="A2:M37"/>
  <sheetViews>
    <sheetView showGridLines="0" tabSelected="1" zoomScale="70" zoomScaleNormal="70" workbookViewId="0">
      <selection activeCell="N13" sqref="N13"/>
    </sheetView>
  </sheetViews>
  <sheetFormatPr defaultRowHeight="12.5"/>
  <cols>
    <col min="1" max="1" width="8.7265625" style="5" customWidth="1"/>
    <col min="2" max="2" width="10.1796875" style="5" customWidth="1"/>
    <col min="3" max="3" width="14.90625" style="5" customWidth="1"/>
    <col min="4" max="4" width="8.7265625" style="5" customWidth="1"/>
    <col min="5" max="5" width="12.81640625" style="5" customWidth="1"/>
    <col min="6" max="6" width="8.7265625" style="5" customWidth="1"/>
    <col min="7" max="7" width="6.7265625" style="5" bestFit="1" customWidth="1"/>
    <col min="8" max="8" width="12.81640625" style="5" customWidth="1"/>
    <col min="9" max="16384" width="8.7265625" style="5"/>
  </cols>
  <sheetData>
    <row r="2" spans="1:9">
      <c r="A2" s="4"/>
      <c r="B2" s="4"/>
      <c r="C2" s="4"/>
      <c r="D2" s="4"/>
      <c r="E2" s="4"/>
      <c r="F2" s="4"/>
      <c r="G2" s="4"/>
      <c r="H2" s="4"/>
      <c r="I2" s="4"/>
    </row>
    <row r="3" spans="1:9" ht="12.5" customHeight="1">
      <c r="A3" s="4"/>
      <c r="B3" s="4"/>
      <c r="C3" s="4"/>
      <c r="D3" s="4"/>
      <c r="E3" s="4"/>
      <c r="F3" s="6"/>
      <c r="G3" s="6"/>
      <c r="H3" s="4"/>
      <c r="I3" s="4"/>
    </row>
    <row r="4" spans="1:9" ht="12.5" customHeight="1">
      <c r="A4" s="4"/>
      <c r="B4" s="4"/>
      <c r="C4" s="4"/>
      <c r="D4" s="4"/>
      <c r="E4" s="6"/>
      <c r="F4" s="6"/>
      <c r="G4" s="6"/>
      <c r="H4" s="4"/>
      <c r="I4" s="4"/>
    </row>
    <row r="5" spans="1:9" ht="12.5" customHeight="1">
      <c r="A5" s="4"/>
      <c r="B5" s="4"/>
      <c r="C5" s="4"/>
      <c r="D5" s="4"/>
      <c r="E5" s="6"/>
      <c r="F5" s="6"/>
      <c r="G5" s="6"/>
      <c r="H5" s="4"/>
      <c r="I5" s="4"/>
    </row>
    <row r="6" spans="1:9" ht="12.5" customHeight="1">
      <c r="A6" s="4"/>
      <c r="B6" s="4"/>
      <c r="C6" s="4"/>
      <c r="D6" s="4"/>
      <c r="E6" s="6"/>
      <c r="F6" s="6"/>
      <c r="G6" s="6"/>
      <c r="H6" s="4"/>
      <c r="I6" s="4"/>
    </row>
    <row r="7" spans="1:9" ht="29.5" customHeight="1">
      <c r="A7" s="4"/>
      <c r="B7" s="4"/>
      <c r="C7" s="4"/>
      <c r="D7" s="4"/>
      <c r="E7" s="6"/>
      <c r="F7" s="6"/>
      <c r="G7" s="6"/>
      <c r="H7" s="4"/>
      <c r="I7" s="4"/>
    </row>
    <row r="8" spans="1:9">
      <c r="A8" s="4"/>
      <c r="B8" s="4"/>
      <c r="C8" s="4"/>
      <c r="D8" s="4"/>
      <c r="E8" s="4"/>
      <c r="F8" s="4"/>
      <c r="G8" s="4"/>
      <c r="H8" s="4"/>
      <c r="I8" s="4"/>
    </row>
    <row r="9" spans="1:9">
      <c r="A9" s="4"/>
      <c r="B9" s="4"/>
      <c r="C9" s="4"/>
      <c r="D9" s="4"/>
      <c r="E9" s="4"/>
      <c r="F9" s="4"/>
      <c r="G9" s="7"/>
      <c r="H9" s="7"/>
      <c r="I9" s="4"/>
    </row>
    <row r="10" spans="1:9" ht="13.5">
      <c r="A10" s="4"/>
      <c r="B10" s="10" t="s">
        <v>82</v>
      </c>
      <c r="C10" s="10" t="s">
        <v>65</v>
      </c>
      <c r="D10" s="9"/>
      <c r="E10" s="9"/>
      <c r="F10" s="9"/>
      <c r="G10" s="10"/>
      <c r="H10" s="10"/>
      <c r="I10" s="4"/>
    </row>
    <row r="11" spans="1:9" ht="13.5">
      <c r="A11" s="4"/>
      <c r="B11" s="10" t="s">
        <v>81</v>
      </c>
      <c r="C11" s="10" t="str">
        <f>_xlfn.XLOOKUP(C10,'Result DB'!A2:A31,'Result DB'!B2:B31," No Name",0)</f>
        <v>Chinedu Nnamdi</v>
      </c>
      <c r="D11" s="9"/>
      <c r="E11" s="9"/>
      <c r="F11" s="9"/>
      <c r="G11" s="10"/>
      <c r="H11" s="10"/>
      <c r="I11" s="4"/>
    </row>
    <row r="12" spans="1:9" ht="13.5">
      <c r="A12" s="4"/>
      <c r="B12" s="10" t="s">
        <v>83</v>
      </c>
      <c r="C12" s="10" t="str">
        <f>VLOOKUP(C10,'Result DB'!A:C,3,FALSE)</f>
        <v>Computer Science</v>
      </c>
      <c r="D12" s="9"/>
      <c r="E12" s="9"/>
      <c r="F12" s="9"/>
      <c r="G12" s="10"/>
      <c r="H12" s="10"/>
      <c r="I12" s="4"/>
    </row>
    <row r="13" spans="1:9" ht="13.5">
      <c r="A13" s="4"/>
      <c r="B13" s="9"/>
      <c r="C13" s="9"/>
      <c r="D13" s="9"/>
      <c r="E13" s="9"/>
      <c r="F13" s="9"/>
      <c r="G13" s="10"/>
      <c r="H13" s="10"/>
      <c r="I13" s="4"/>
    </row>
    <row r="14" spans="1:9" ht="13.5">
      <c r="A14" s="4"/>
      <c r="B14" s="9"/>
      <c r="C14" s="9"/>
      <c r="D14" s="9"/>
      <c r="E14" s="9"/>
      <c r="F14" s="9"/>
      <c r="G14" s="10"/>
      <c r="H14" s="10"/>
      <c r="I14" s="4"/>
    </row>
    <row r="15" spans="1:9" ht="13.5">
      <c r="A15" s="4"/>
      <c r="B15" s="11" t="s">
        <v>84</v>
      </c>
      <c r="C15" s="11" t="s">
        <v>85</v>
      </c>
      <c r="D15" s="11" t="s">
        <v>86</v>
      </c>
      <c r="E15" s="11" t="s">
        <v>87</v>
      </c>
      <c r="F15" s="9"/>
      <c r="G15" s="12" t="s">
        <v>92</v>
      </c>
      <c r="H15" s="12"/>
      <c r="I15" s="4"/>
    </row>
    <row r="16" spans="1:9" ht="13.5">
      <c r="A16" s="4"/>
      <c r="B16" s="11">
        <v>1</v>
      </c>
      <c r="C16" s="13" t="s">
        <v>3</v>
      </c>
      <c r="D16" s="8">
        <f>VLOOKUP($C$10,Result[],4,FALSE)</f>
        <v>82</v>
      </c>
      <c r="E16" s="8" t="str">
        <f>IF(D16&gt;80,"EXCELLENT",IF(D16&gt;65,"V.GOOD",IF(D16&gt;55,"GOOD",IF(D16&gt;44,"PASS","FAIL"))))</f>
        <v>EXCELLENT</v>
      </c>
      <c r="F16" s="9"/>
      <c r="G16" s="8" t="s">
        <v>93</v>
      </c>
      <c r="H16" s="8" t="s">
        <v>91</v>
      </c>
      <c r="I16" s="4"/>
    </row>
    <row r="17" spans="1:13" ht="13.5">
      <c r="A17" s="4"/>
      <c r="B17" s="11">
        <v>2</v>
      </c>
      <c r="C17" s="13" t="s">
        <v>4</v>
      </c>
      <c r="D17" s="8">
        <f>VLOOKUP($C$10,Result[],5,FALSE)</f>
        <v>79</v>
      </c>
      <c r="E17" s="8" t="str">
        <f t="shared" ref="E17:E22" si="0">IF(D17&gt;80,"EXCELLENT",IF(D17&gt;65,"V.GOOD",IF(D17&gt;55,"GOOD",IF(D17&gt;44,"PASS","FAIL"))))</f>
        <v>V.GOOD</v>
      </c>
      <c r="F17" s="9"/>
      <c r="G17" s="8" t="s">
        <v>94</v>
      </c>
      <c r="H17" s="8" t="s">
        <v>95</v>
      </c>
      <c r="I17" s="4"/>
    </row>
    <row r="18" spans="1:13" ht="13.5">
      <c r="A18" s="4"/>
      <c r="B18" s="11">
        <v>3</v>
      </c>
      <c r="C18" s="13" t="s">
        <v>5</v>
      </c>
      <c r="D18" s="8">
        <f>VLOOKUP($C$10,Result[],6,FALSE)</f>
        <v>84</v>
      </c>
      <c r="E18" s="8" t="str">
        <f t="shared" si="0"/>
        <v>EXCELLENT</v>
      </c>
      <c r="F18" s="9"/>
      <c r="G18" s="8" t="s">
        <v>96</v>
      </c>
      <c r="H18" s="8" t="s">
        <v>90</v>
      </c>
      <c r="I18" s="4"/>
    </row>
    <row r="19" spans="1:13" ht="13.5">
      <c r="A19" s="4"/>
      <c r="B19" s="11">
        <v>4</v>
      </c>
      <c r="C19" s="13" t="s">
        <v>6</v>
      </c>
      <c r="D19" s="8">
        <f>VLOOKUP($C$10,Result[],7,FALSE)</f>
        <v>80</v>
      </c>
      <c r="E19" s="8" t="str">
        <f t="shared" si="0"/>
        <v>V.GOOD</v>
      </c>
      <c r="F19" s="9"/>
      <c r="G19" s="8" t="s">
        <v>97</v>
      </c>
      <c r="H19" s="8" t="s">
        <v>89</v>
      </c>
      <c r="I19" s="4"/>
    </row>
    <row r="20" spans="1:13" ht="13.5">
      <c r="A20" s="4"/>
      <c r="B20" s="11">
        <v>5</v>
      </c>
      <c r="C20" s="13" t="s">
        <v>7</v>
      </c>
      <c r="D20" s="8">
        <f>VLOOKUP($C$10,Result[],8,FALSE)</f>
        <v>78</v>
      </c>
      <c r="E20" s="8" t="str">
        <f t="shared" si="0"/>
        <v>V.GOOD</v>
      </c>
      <c r="F20" s="9"/>
      <c r="G20" s="8" t="s">
        <v>98</v>
      </c>
      <c r="H20" s="8" t="s">
        <v>88</v>
      </c>
      <c r="I20" s="4"/>
    </row>
    <row r="21" spans="1:13" ht="13.5">
      <c r="A21" s="4"/>
      <c r="B21" s="11">
        <v>6</v>
      </c>
      <c r="C21" s="13" t="s">
        <v>8</v>
      </c>
      <c r="D21" s="8">
        <f>VLOOKUP($C$10,Result[],9,FALSE)</f>
        <v>72</v>
      </c>
      <c r="E21" s="8" t="str">
        <f t="shared" si="0"/>
        <v>V.GOOD</v>
      </c>
      <c r="F21" s="9"/>
      <c r="G21" s="10"/>
      <c r="H21" s="10"/>
      <c r="I21" s="4"/>
    </row>
    <row r="22" spans="1:13" ht="13.5">
      <c r="A22" s="4"/>
      <c r="B22" s="11">
        <v>7</v>
      </c>
      <c r="C22" s="13" t="s">
        <v>9</v>
      </c>
      <c r="D22" s="8">
        <f>VLOOKUP($C$10,Result[],10,FALSE)</f>
        <v>73</v>
      </c>
      <c r="E22" s="8" t="str">
        <f t="shared" si="0"/>
        <v>V.GOOD</v>
      </c>
      <c r="F22" s="9"/>
      <c r="G22" s="9"/>
      <c r="H22" s="9"/>
      <c r="I22" s="4"/>
    </row>
    <row r="23" spans="1:13" ht="13.5">
      <c r="A23" s="4"/>
      <c r="B23" s="9"/>
      <c r="C23" s="9"/>
      <c r="D23" s="9"/>
      <c r="E23" s="9"/>
      <c r="F23" s="9"/>
      <c r="G23" s="9"/>
      <c r="H23" s="9"/>
      <c r="I23" s="4"/>
      <c r="K23" s="14"/>
      <c r="L23" s="14"/>
      <c r="M23" s="14"/>
    </row>
    <row r="24" spans="1:13" ht="13.5">
      <c r="A24" s="4"/>
      <c r="B24" s="9"/>
      <c r="C24" s="9"/>
      <c r="D24" s="10"/>
      <c r="E24" s="10"/>
      <c r="F24" s="9"/>
      <c r="G24" s="9"/>
      <c r="H24" s="9"/>
      <c r="I24" s="4"/>
    </row>
    <row r="25" spans="1:13" ht="13.5">
      <c r="A25" s="4"/>
      <c r="B25" s="9"/>
      <c r="C25" s="9"/>
      <c r="D25" s="9"/>
      <c r="E25" s="9"/>
      <c r="F25" s="9"/>
      <c r="G25" s="9"/>
      <c r="H25" s="9"/>
      <c r="I25" s="4"/>
    </row>
    <row r="26" spans="1:13" ht="13.5">
      <c r="A26" s="4"/>
      <c r="B26" s="8" t="s">
        <v>99</v>
      </c>
      <c r="C26" s="15">
        <f>SUM(D16:D22)</f>
        <v>548</v>
      </c>
      <c r="D26" s="15"/>
      <c r="E26" s="9"/>
      <c r="F26" s="9"/>
      <c r="G26" s="9"/>
      <c r="H26" s="9"/>
      <c r="I26" s="4"/>
    </row>
    <row r="27" spans="1:13" ht="13.5">
      <c r="A27" s="4"/>
      <c r="B27" s="8" t="s">
        <v>100</v>
      </c>
      <c r="C27" s="16">
        <f>AVERAGE(D16:D22)</f>
        <v>78.285714285714292</v>
      </c>
      <c r="D27" s="16"/>
      <c r="E27" s="9"/>
      <c r="F27" s="9"/>
      <c r="G27" s="9"/>
      <c r="H27" s="9"/>
      <c r="I27" s="4"/>
    </row>
    <row r="28" spans="1:13" ht="13.5">
      <c r="A28" s="4"/>
      <c r="B28" s="10"/>
      <c r="C28" s="10"/>
      <c r="D28" s="9"/>
      <c r="E28" s="9"/>
      <c r="F28" s="9"/>
      <c r="G28" s="9"/>
      <c r="H28" s="9"/>
      <c r="I28" s="4"/>
    </row>
    <row r="29" spans="1:13" ht="13.5">
      <c r="A29" s="4"/>
      <c r="B29" s="17" t="s">
        <v>102</v>
      </c>
      <c r="C29" s="17"/>
      <c r="D29" s="9">
        <f>COUNTA(Result[NAME])</f>
        <v>30</v>
      </c>
      <c r="E29" s="9"/>
      <c r="F29" s="9"/>
      <c r="G29" s="9"/>
      <c r="H29" s="9"/>
      <c r="I29" s="4"/>
    </row>
    <row r="30" spans="1:13" ht="13.5">
      <c r="A30" s="4"/>
      <c r="B30" s="18" t="s">
        <v>103</v>
      </c>
      <c r="C30" s="18"/>
      <c r="D30" s="9">
        <f>COUNTA(C16:C22)</f>
        <v>7</v>
      </c>
      <c r="E30" s="9"/>
      <c r="F30" s="9"/>
      <c r="G30" s="9"/>
      <c r="H30" s="9"/>
      <c r="I30" s="4"/>
    </row>
    <row r="31" spans="1:13">
      <c r="A31" s="19"/>
      <c r="B31" s="19"/>
      <c r="C31" s="19"/>
      <c r="D31" s="19"/>
      <c r="E31" s="19"/>
      <c r="F31" s="19"/>
      <c r="G31" s="19"/>
      <c r="H31" s="4"/>
      <c r="I31" s="4"/>
    </row>
    <row r="32" spans="1:13" ht="14.5">
      <c r="A32" s="19"/>
      <c r="B32" s="20" t="s">
        <v>101</v>
      </c>
      <c r="C32" s="20"/>
      <c r="D32" s="20"/>
      <c r="E32" s="19"/>
      <c r="F32" s="19"/>
      <c r="G32" s="19"/>
      <c r="H32" s="4"/>
      <c r="I32" s="4"/>
    </row>
    <row r="33" spans="1:9">
      <c r="A33" s="19"/>
      <c r="B33" s="21"/>
      <c r="C33" s="21"/>
      <c r="D33" s="21"/>
      <c r="E33" s="21"/>
      <c r="F33" s="21"/>
      <c r="G33" s="21"/>
      <c r="H33" s="21"/>
      <c r="I33" s="4"/>
    </row>
    <row r="34" spans="1:9">
      <c r="A34" s="19"/>
      <c r="B34" s="21"/>
      <c r="C34" s="21"/>
      <c r="D34" s="21"/>
      <c r="E34" s="21"/>
      <c r="F34" s="21"/>
      <c r="G34" s="21"/>
      <c r="H34" s="21"/>
      <c r="I34" s="4"/>
    </row>
    <row r="35" spans="1:9">
      <c r="A35" s="4"/>
      <c r="B35" s="4"/>
      <c r="C35" s="4"/>
      <c r="D35" s="4"/>
      <c r="E35" s="4"/>
      <c r="F35" s="4"/>
      <c r="G35" s="4"/>
      <c r="H35" s="4"/>
      <c r="I35" s="4"/>
    </row>
    <row r="36" spans="1:9">
      <c r="A36" s="4"/>
      <c r="B36" s="4"/>
      <c r="C36" s="4"/>
      <c r="D36" s="4"/>
      <c r="E36" s="4"/>
      <c r="F36" s="4"/>
      <c r="G36" s="4"/>
      <c r="H36" s="4"/>
      <c r="I36" s="4"/>
    </row>
    <row r="37" spans="1:9">
      <c r="A37" s="4"/>
      <c r="B37" s="4"/>
      <c r="C37" s="4"/>
      <c r="D37" s="4"/>
      <c r="E37" s="4"/>
      <c r="F37" s="4"/>
      <c r="G37" s="4"/>
      <c r="H37" s="4"/>
      <c r="I37" s="4"/>
    </row>
  </sheetData>
  <mergeCells count="8">
    <mergeCell ref="C26:D26"/>
    <mergeCell ref="C27:D27"/>
    <mergeCell ref="B29:C29"/>
    <mergeCell ref="B30:C30"/>
    <mergeCell ref="B32:D32"/>
    <mergeCell ref="B33:H34"/>
    <mergeCell ref="G9:H9"/>
    <mergeCell ref="G15:H15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1C94BF-F6BD-4418-8419-EE40EDA209A2}">
          <x14:formula1>
            <xm:f>'Result DB'!$A$2:$A$31</xm:f>
          </x14:formula1>
          <xm:sqref>C10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86D39A355080C45AB74C82FF1E3E82A" ma:contentTypeVersion="7" ma:contentTypeDescription="Create a new document." ma:contentTypeScope="" ma:versionID="2dad8da38e69b64d21c305678dae0be7">
  <xsd:schema xmlns:xsd="http://www.w3.org/2001/XMLSchema" xmlns:xs="http://www.w3.org/2001/XMLSchema" xmlns:p="http://schemas.microsoft.com/office/2006/metadata/properties" xmlns:ns2="6e0a9b9c-4ed8-4e9f-8162-c5b27aabdd60" targetNamespace="http://schemas.microsoft.com/office/2006/metadata/properties" ma:root="true" ma:fieldsID="be9a6167c0c2a6724675cfc81f59e3cf" ns2:_="">
    <xsd:import namespace="6e0a9b9c-4ed8-4e9f-8162-c5b27aabdd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a9b9c-4ed8-4e9f-8162-c5b27aabd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310749-3EFE-4291-B98E-B2C89E47D4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66154E7-A51F-4A14-BCBF-5616579110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821F9B-B1E0-40B8-A79F-B7E2377391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a9b9c-4ed8-4e9f-8162-c5b27aabdd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Result DB</vt:lpstr>
      <vt:lpstr>Sheet2</vt:lpstr>
      <vt:lpstr>maths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 Erhaye</dc:creator>
  <cp:lastModifiedBy>Joy Erhaye</cp:lastModifiedBy>
  <cp:lastPrinted>2026-05-10T13:38:48Z</cp:lastPrinted>
  <dcterms:created xsi:type="dcterms:W3CDTF">2026-05-10T14:09:40Z</dcterms:created>
  <dcterms:modified xsi:type="dcterms:W3CDTF">2026-05-10T14:12:10Z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0x010100F86D39A355080C45AB74C82FF1E3E82A</vt:lpwstr>
  </property>
</Properties>
</file>